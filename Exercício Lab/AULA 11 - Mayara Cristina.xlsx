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cuments\Inatel\P6\M06\"/>
    </mc:Choice>
  </mc:AlternateContent>
  <xr:revisionPtr revIDLastSave="0" documentId="13_ncr:1_{8E6CA73A-2130-44A6-807D-BF532C7A99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" sheetId="1" r:id="rId1"/>
    <sheet name="Mayar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4" i="2"/>
  <c r="AW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D4" i="2" l="1"/>
  <c r="C11" i="2"/>
  <c r="D10" i="2" l="1"/>
  <c r="D9" i="2"/>
  <c r="D8" i="2"/>
  <c r="D7" i="2"/>
  <c r="D6" i="2"/>
  <c r="D5" i="2"/>
  <c r="D11" i="2" l="1"/>
</calcChain>
</file>

<file path=xl/sharedStrings.xml><?xml version="1.0" encoding="utf-8"?>
<sst xmlns="http://schemas.openxmlformats.org/spreadsheetml/2006/main" count="5700" uniqueCount="247">
  <si>
    <t>ID</t>
  </si>
  <si>
    <t xml:space="preserve">Sexo: </t>
  </si>
  <si>
    <t>Idade (anos):</t>
  </si>
  <si>
    <t>Peso (kg):</t>
  </si>
  <si>
    <t>Altura (m): </t>
  </si>
  <si>
    <t>Curso:</t>
  </si>
  <si>
    <t>Período:</t>
  </si>
  <si>
    <t>Turno de estudo:</t>
  </si>
  <si>
    <t>Faz alguma atividade extraclasse. se sim qual (is)?</t>
  </si>
  <si>
    <t>Se escolheu 'Outros' na questão de número 8. especifique aqui:</t>
  </si>
  <si>
    <t>Cidade/procedência:</t>
  </si>
  <si>
    <t>Estado:</t>
  </si>
  <si>
    <t>Com quem mora:</t>
  </si>
  <si>
    <t>Se escolheu 'Outros' na questão de número 12. especifique aqui:</t>
  </si>
  <si>
    <t>Pais participam da vida escolar?</t>
  </si>
  <si>
    <t xml:space="preserve">1- Com que frequência você usa seu celular na vida diária?              </t>
  </si>
  <si>
    <t xml:space="preserve">Pontos 1         </t>
  </si>
  <si>
    <t xml:space="preserve">2- Quantas vezes você não pode sair sem levar o celular?       </t>
  </si>
  <si>
    <t xml:space="preserve">Pontos 2     </t>
  </si>
  <si>
    <t xml:space="preserve">3-  Com que frequência você volta se esquecer de levar o celular?       </t>
  </si>
  <si>
    <t>Pontos 3</t>
  </si>
  <si>
    <t xml:space="preserve">4- Com que frequência você acessa a internet no celular?       </t>
  </si>
  <si>
    <t xml:space="preserve">Pontos –  4    </t>
  </si>
  <si>
    <t xml:space="preserve">5- Quantas vezes você se sente ansioso quando   percebe que está sem o celular?       </t>
  </si>
  <si>
    <t xml:space="preserve">Pontos 5      </t>
  </si>
  <si>
    <t xml:space="preserve">6- Quantas vezes você se sente triste ou deprimido quando é desconectado da Internet ou das redes sociais através do seu celular?       </t>
  </si>
  <si>
    <t xml:space="preserve">Pontos 6   </t>
  </si>
  <si>
    <t xml:space="preserve">7- Quantas vezes você se sente nervoso por não ter o celular com você para se comunicar?       </t>
  </si>
  <si>
    <t xml:space="preserve">Pontos 7      </t>
  </si>
  <si>
    <t xml:space="preserve">8- Quantas vezes você tem medo de sair sem o celular e se sentir doente na rua sem os meios para pedir ajuda imediata ou fazer contato com alguém em quem confia?       </t>
  </si>
  <si>
    <t xml:space="preserve">Pontos 8       </t>
  </si>
  <si>
    <t xml:space="preserve">9- Com que frequência você mantém o celular à mão?       </t>
  </si>
  <si>
    <t xml:space="preserve">Pontos 9       </t>
  </si>
  <si>
    <t xml:space="preserve">10- Com que frequência você mantém o celular ligado 24 horas por dia?       </t>
  </si>
  <si>
    <t xml:space="preserve">Pontos 10       </t>
  </si>
  <si>
    <t xml:space="preserve">11- Com que frequência você dorme com o celular ligado?       </t>
  </si>
  <si>
    <t xml:space="preserve">Pontos 11     </t>
  </si>
  <si>
    <t xml:space="preserve">12- Com que frequência você acessa o celular mais de 30 vezes por dia para visualizar mensagens. e-mails etc.?       </t>
  </si>
  <si>
    <t xml:space="preserve">Pontos 12       </t>
  </si>
  <si>
    <t xml:space="preserve">13- Com que frequência você se mantém conectado   ao celular quando está com amigos ou família?       </t>
  </si>
  <si>
    <t xml:space="preserve">Pontos 13       </t>
  </si>
  <si>
    <t xml:space="preserve">14- Com que frequência você se sente sozinho se não participa de redes sociais ou quando não está em grupo enquanto outros estão?                     </t>
  </si>
  <si>
    <t xml:space="preserve">Pontos 14                    </t>
  </si>
  <si>
    <t xml:space="preserve">15- Quantas vezes  você mantém na agenda do celular o número de um médico. psicólogo ou hospital por medo de se sentir mal na rua?       </t>
  </si>
  <si>
    <t xml:space="preserve">Pontos 15       </t>
  </si>
  <si>
    <t xml:space="preserve">16- Com que frequência você toca no celular?       </t>
  </si>
  <si>
    <t xml:space="preserve">Pontos 16       </t>
  </si>
  <si>
    <t>Pontuação final</t>
  </si>
  <si>
    <t>Classificação</t>
  </si>
  <si>
    <t>Masculino</t>
  </si>
  <si>
    <t>Engenharia de Computação</t>
  </si>
  <si>
    <t>P3</t>
  </si>
  <si>
    <t>Integral</t>
  </si>
  <si>
    <t>Iniciação Científica ;</t>
  </si>
  <si>
    <t xml:space="preserve">Três Corações </t>
  </si>
  <si>
    <t>Minas Gerais</t>
  </si>
  <si>
    <t>Amigos/colegas</t>
  </si>
  <si>
    <t xml:space="preserve">Às vezes </t>
  </si>
  <si>
    <t>Sempre</t>
  </si>
  <si>
    <t>Nunca / Raramente</t>
  </si>
  <si>
    <t>Frequentemente</t>
  </si>
  <si>
    <t>Engenharia de Software</t>
  </si>
  <si>
    <t>Outros;</t>
  </si>
  <si>
    <t>Pouso Alegre</t>
  </si>
  <si>
    <t xml:space="preserve">Familiares </t>
  </si>
  <si>
    <t xml:space="preserve">Sempre </t>
  </si>
  <si>
    <t>Feminino</t>
  </si>
  <si>
    <t>P9</t>
  </si>
  <si>
    <t>Noturno</t>
  </si>
  <si>
    <t>Monitoria ;Estágio ;</t>
  </si>
  <si>
    <t>Santa Rita do Sapucaí</t>
  </si>
  <si>
    <t>P6</t>
  </si>
  <si>
    <t>Trabalho ;</t>
  </si>
  <si>
    <t xml:space="preserve">Atibaia </t>
  </si>
  <si>
    <t>São Paulo</t>
  </si>
  <si>
    <t>Sozinho</t>
  </si>
  <si>
    <t>Engenharia de Telecomunicações</t>
  </si>
  <si>
    <t>P5</t>
  </si>
  <si>
    <t>Lambari</t>
  </si>
  <si>
    <t>P1</t>
  </si>
  <si>
    <t>Estágio ;</t>
  </si>
  <si>
    <t>Iniciação Científica ;Monitoria ;</t>
  </si>
  <si>
    <t>Nunca</t>
  </si>
  <si>
    <t>P4</t>
  </si>
  <si>
    <t>Casa Viva</t>
  </si>
  <si>
    <t>P2</t>
  </si>
  <si>
    <t>Natércia</t>
  </si>
  <si>
    <t>Iniciação Científica ;Estágio ;Trabalho ;</t>
  </si>
  <si>
    <t>São Lourenço</t>
  </si>
  <si>
    <t>Cachoeira de Minas</t>
  </si>
  <si>
    <t>P7</t>
  </si>
  <si>
    <t xml:space="preserve">Pouso Alegre </t>
  </si>
  <si>
    <t>Outros</t>
  </si>
  <si>
    <t xml:space="preserve">Namorado </t>
  </si>
  <si>
    <t>Engenharia de Controle e Automação</t>
  </si>
  <si>
    <t>Machado</t>
  </si>
  <si>
    <t xml:space="preserve">Eloi Mendes </t>
  </si>
  <si>
    <t>Monitoria ;</t>
  </si>
  <si>
    <t>Goiânia</t>
  </si>
  <si>
    <t>Goiás</t>
  </si>
  <si>
    <t>Passos</t>
  </si>
  <si>
    <t>Cambuí</t>
  </si>
  <si>
    <t>P10</t>
  </si>
  <si>
    <t xml:space="preserve">Pouso alegre </t>
  </si>
  <si>
    <t>Engenharia Elétrica</t>
  </si>
  <si>
    <t>P8</t>
  </si>
  <si>
    <t>Trabalho ;Outros;</t>
  </si>
  <si>
    <t>Membro da ISA</t>
  </si>
  <si>
    <t>Volta Redonda</t>
  </si>
  <si>
    <t>Rio de Janeiro</t>
  </si>
  <si>
    <t>Socorro</t>
  </si>
  <si>
    <t>Engenharia Biomédica</t>
  </si>
  <si>
    <t>start</t>
  </si>
  <si>
    <t>Poços de Caldas</t>
  </si>
  <si>
    <t>pensão</t>
  </si>
  <si>
    <t>Filha e esposo</t>
  </si>
  <si>
    <t>Pedralva</t>
  </si>
  <si>
    <t>Caxambu</t>
  </si>
  <si>
    <t>Cruzília</t>
  </si>
  <si>
    <t>Engenharia de Produção</t>
  </si>
  <si>
    <t xml:space="preserve">Campanha </t>
  </si>
  <si>
    <t xml:space="preserve">república </t>
  </si>
  <si>
    <t>Voluntário do Cas@ Viva</t>
  </si>
  <si>
    <t xml:space="preserve">Petrópolis </t>
  </si>
  <si>
    <t xml:space="preserve">Rio de Janeiro </t>
  </si>
  <si>
    <t xml:space="preserve">Volta Redonda </t>
  </si>
  <si>
    <t>Governador Valadares</t>
  </si>
  <si>
    <t>republica</t>
  </si>
  <si>
    <t>Conceição do Rio Verde</t>
  </si>
  <si>
    <t>Crea jr</t>
  </si>
  <si>
    <t xml:space="preserve">Vitória </t>
  </si>
  <si>
    <t>Espírito Santo</t>
  </si>
  <si>
    <t xml:space="preserve">Carmo da Cachoeira </t>
  </si>
  <si>
    <t>Iniciação Científica ;Outros;</t>
  </si>
  <si>
    <t>Integrante da equipe Robotbulls</t>
  </si>
  <si>
    <t>Borda da Mata</t>
  </si>
  <si>
    <t xml:space="preserve">Machado </t>
  </si>
  <si>
    <t xml:space="preserve">Tremembé </t>
  </si>
  <si>
    <t>Cambuquira</t>
  </si>
  <si>
    <t>Atualmente em intercâmbio. mas já participei da Monitoria e Iniciação Científica.</t>
  </si>
  <si>
    <t>Jaú</t>
  </si>
  <si>
    <t>Varginha</t>
  </si>
  <si>
    <t xml:space="preserve">Caxambu </t>
  </si>
  <si>
    <t>Inconfidentes</t>
  </si>
  <si>
    <t>Três Pontas</t>
  </si>
  <si>
    <t>Estágio ;Trabalho ;</t>
  </si>
  <si>
    <t>Esposa</t>
  </si>
  <si>
    <t>Estágio ;Monitoria ;</t>
  </si>
  <si>
    <t>Barra Mansa</t>
  </si>
  <si>
    <t>Brasília</t>
  </si>
  <si>
    <t>Distrito Federal</t>
  </si>
  <si>
    <t xml:space="preserve">Codetroopers </t>
  </si>
  <si>
    <t xml:space="preserve">Dom Viçoso </t>
  </si>
  <si>
    <t>Monitoria ;Iniciação Científica ;</t>
  </si>
  <si>
    <t>Senador Amaral</t>
  </si>
  <si>
    <t>Estágio ;Monitoria ;Outros;</t>
  </si>
  <si>
    <t>Voluntário</t>
  </si>
  <si>
    <t xml:space="preserve">Jacareí </t>
  </si>
  <si>
    <t>São José da Barra</t>
  </si>
  <si>
    <t>Monitoria ;Trabalho ;</t>
  </si>
  <si>
    <t>Santa Rita de Caldas</t>
  </si>
  <si>
    <t>Estiva</t>
  </si>
  <si>
    <t>Iniciação Científica ;Monitoria ;Outros;</t>
  </si>
  <si>
    <t xml:space="preserve">Curso de inglês </t>
  </si>
  <si>
    <t xml:space="preserve">Natércia </t>
  </si>
  <si>
    <t>Taubaté</t>
  </si>
  <si>
    <t xml:space="preserve">Itajubá </t>
  </si>
  <si>
    <t xml:space="preserve">Aqui em Santa Rita moro em pensão </t>
  </si>
  <si>
    <t>Campanha</t>
  </si>
  <si>
    <t>Estágio ;Outros;</t>
  </si>
  <si>
    <t>Jovem talento. curso de ingles. cursos de programação</t>
  </si>
  <si>
    <t>Monte Sião</t>
  </si>
  <si>
    <t>moro em pensão</t>
  </si>
  <si>
    <t>Iniciação Científica ;Trabalho ;</t>
  </si>
  <si>
    <t>Iniciação Científica ;Monitoria ;Estágio ;Trabalho ;Outros;</t>
  </si>
  <si>
    <t>CP2</t>
  </si>
  <si>
    <t>Conceição dos Ouros</t>
  </si>
  <si>
    <t xml:space="preserve">itajubá </t>
  </si>
  <si>
    <t>Santo Antônio de Jesus</t>
  </si>
  <si>
    <t>Bahia</t>
  </si>
  <si>
    <t>Geralmente jogo xadrez. as vezes participo de competições. não compreendi se era exatamente essa a pergunta. mas aí está.</t>
  </si>
  <si>
    <t xml:space="preserve">Baependi </t>
  </si>
  <si>
    <t>Belo Horizonte</t>
  </si>
  <si>
    <t>Campinas</t>
  </si>
  <si>
    <t>Faço parte da equipe de robótica e leciono no Inatel Cas@ Viva.</t>
  </si>
  <si>
    <t>São Gonçalo do Sapucaí</t>
  </si>
  <si>
    <t xml:space="preserve">Cachoeira de Minas </t>
  </si>
  <si>
    <t>Iniciação Científica ;Estágio ;</t>
  </si>
  <si>
    <t xml:space="preserve">Cunha </t>
  </si>
  <si>
    <t>Prático esportes</t>
  </si>
  <si>
    <t>Divinópolis</t>
  </si>
  <si>
    <t xml:space="preserve">São Sebastião do Paraíso </t>
  </si>
  <si>
    <t xml:space="preserve">São Paulo </t>
  </si>
  <si>
    <t>Conceição da Aparecida</t>
  </si>
  <si>
    <t>Boa Esperança</t>
  </si>
  <si>
    <t>Academia</t>
  </si>
  <si>
    <t>Serrania</t>
  </si>
  <si>
    <t>Curso de logistica e qualidade</t>
  </si>
  <si>
    <t>Outros;Trabalho ;</t>
  </si>
  <si>
    <t xml:space="preserve">Trabalho voluntário </t>
  </si>
  <si>
    <t>Manaus</t>
  </si>
  <si>
    <t>Amazonas</t>
  </si>
  <si>
    <t>Namorado</t>
  </si>
  <si>
    <t>Guaxupé</t>
  </si>
  <si>
    <t>Curso.</t>
  </si>
  <si>
    <t xml:space="preserve">Valença </t>
  </si>
  <si>
    <t>Atuo como conselheiro na CP2eJr e faço aula de Espanhol</t>
  </si>
  <si>
    <t>Vila Velha</t>
  </si>
  <si>
    <t>Guaxupe</t>
  </si>
  <si>
    <t>Monitoria ;Estágio ;Trabalho ;</t>
  </si>
  <si>
    <t xml:space="preserve">Ipuiuna </t>
  </si>
  <si>
    <t xml:space="preserve">Guaxupé </t>
  </si>
  <si>
    <t xml:space="preserve">Pindamonhangaba </t>
  </si>
  <si>
    <t>.</t>
  </si>
  <si>
    <t>Monitoria ;Outros;</t>
  </si>
  <si>
    <t xml:space="preserve">Casa Viva </t>
  </si>
  <si>
    <t>Participo dos esportes</t>
  </si>
  <si>
    <t xml:space="preserve">São Sebastião da Bela Vista </t>
  </si>
  <si>
    <t>Silvianópolis</t>
  </si>
  <si>
    <t>Uber</t>
  </si>
  <si>
    <t xml:space="preserve">Poços de Caldas </t>
  </si>
  <si>
    <t>Ilhéus</t>
  </si>
  <si>
    <t>Andradas</t>
  </si>
  <si>
    <t>Areado</t>
  </si>
  <si>
    <t>Congonhal</t>
  </si>
  <si>
    <t>Alpinópolis</t>
  </si>
  <si>
    <t xml:space="preserve">Pensão </t>
  </si>
  <si>
    <t>São José dos Campos</t>
  </si>
  <si>
    <t xml:space="preserve">Campos Gerais </t>
  </si>
  <si>
    <t>Campos dos Goytacazes</t>
  </si>
  <si>
    <t>Equipes de Competição do Inatel</t>
  </si>
  <si>
    <t>Iniciação Científica ;Monitoria ;Trabalho ;</t>
  </si>
  <si>
    <t>Ouro Fino</t>
  </si>
  <si>
    <t xml:space="preserve">Borda da Mata </t>
  </si>
  <si>
    <t xml:space="preserve">São José dos Campos </t>
  </si>
  <si>
    <t>São Vivente de Minas</t>
  </si>
  <si>
    <t>Recife</t>
  </si>
  <si>
    <t>Pernambuco</t>
  </si>
  <si>
    <t>Campo Belo</t>
  </si>
  <si>
    <t>atletica</t>
  </si>
  <si>
    <t>pouso alegre</t>
  </si>
  <si>
    <t xml:space="preserve">Cruzeiro </t>
  </si>
  <si>
    <t>Curso</t>
  </si>
  <si>
    <t>Total</t>
  </si>
  <si>
    <t>fa</t>
  </si>
  <si>
    <t>fr</t>
  </si>
  <si>
    <t>Tabela 1 - Análise da dependência em Smartfone de 224  alunos de uma faculdade de tecnologia do Sul de Minas Gerais no segundo semestre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</si>
</sst>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AD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2" borderId="0" xfId="0" applyFill="1" applyAlignment="1">
      <alignment horizontal="left"/>
    </xf>
    <xf numFmtId="0" fontId="0" fillId="2" borderId="0" xfId="0" applyFill="1"/>
    <xf numFmtId="0" fontId="1" fillId="3" borderId="0" xfId="0" applyFont="1" applyFill="1"/>
    <xf numFmtId="10" fontId="0" fillId="0" borderId="0" xfId="0" applyNumberFormat="1"/>
    <xf numFmtId="0" fontId="0" fillId="4" borderId="1" xfId="0" applyFill="1" applyBorder="1"/>
    <xf numFmtId="10" fontId="0" fillId="4" borderId="1" xfId="0" applyNumberFormat="1" applyFill="1" applyBorder="1"/>
    <xf numFmtId="0" fontId="0" fillId="4" borderId="1" xfId="0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DA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Distribuição percentual dos alunos por curso</a:t>
            </a:r>
            <a:r>
              <a:rPr lang="pt-BR" sz="1400" b="0" i="0" u="none" strike="noStrike" baseline="0"/>
              <a:t>.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Mayara!$C$3</c:f>
              <c:strCache>
                <c:ptCount val="1"/>
                <c:pt idx="0">
                  <c:v>fa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Mayara!$B$4:$B$10</c:f>
              <c:strCache>
                <c:ptCount val="7"/>
                <c:pt idx="0">
                  <c:v>Engenharia Biomédica</c:v>
                </c:pt>
                <c:pt idx="1">
                  <c:v>Engenharia de Computação</c:v>
                </c:pt>
                <c:pt idx="2">
                  <c:v>Engenharia de Controle e Automação</c:v>
                </c:pt>
                <c:pt idx="3">
                  <c:v>Engenharia de Produção</c:v>
                </c:pt>
                <c:pt idx="4">
                  <c:v>Engenharia de Software</c:v>
                </c:pt>
                <c:pt idx="5">
                  <c:v>Engenharia de Telecomunicações</c:v>
                </c:pt>
                <c:pt idx="6">
                  <c:v>Engenharia Elétrica</c:v>
                </c:pt>
              </c:strCache>
            </c:strRef>
          </c:cat>
          <c:val>
            <c:numRef>
              <c:f>Mayara!$C$4:$C$10</c:f>
              <c:numCache>
                <c:formatCode>General</c:formatCode>
                <c:ptCount val="7"/>
                <c:pt idx="0">
                  <c:v>19</c:v>
                </c:pt>
                <c:pt idx="1">
                  <c:v>57</c:v>
                </c:pt>
                <c:pt idx="2">
                  <c:v>15</c:v>
                </c:pt>
                <c:pt idx="3">
                  <c:v>7</c:v>
                </c:pt>
                <c:pt idx="4">
                  <c:v>88</c:v>
                </c:pt>
                <c:pt idx="5">
                  <c:v>28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1-49A3-B858-1D919EC4B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Quantidade de alunos por curso</a:t>
            </a:r>
            <a:r>
              <a:rPr lang="pt-BR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Mayara!$C$3</c:f>
              <c:strCache>
                <c:ptCount val="1"/>
                <c:pt idx="0">
                  <c:v>fa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Mayara!$B$4:$B$10</c:f>
              <c:strCache>
                <c:ptCount val="7"/>
                <c:pt idx="0">
                  <c:v>Engenharia Biomédica</c:v>
                </c:pt>
                <c:pt idx="1">
                  <c:v>Engenharia de Computação</c:v>
                </c:pt>
                <c:pt idx="2">
                  <c:v>Engenharia de Controle e Automação</c:v>
                </c:pt>
                <c:pt idx="3">
                  <c:v>Engenharia de Produção</c:v>
                </c:pt>
                <c:pt idx="4">
                  <c:v>Engenharia de Software</c:v>
                </c:pt>
                <c:pt idx="5">
                  <c:v>Engenharia de Telecomunicações</c:v>
                </c:pt>
                <c:pt idx="6">
                  <c:v>Engenharia Elétrica</c:v>
                </c:pt>
              </c:strCache>
            </c:strRef>
          </c:cat>
          <c:val>
            <c:numRef>
              <c:f>Mayara!$C$4:$C$10</c:f>
              <c:numCache>
                <c:formatCode>General</c:formatCode>
                <c:ptCount val="7"/>
                <c:pt idx="0">
                  <c:v>19</c:v>
                </c:pt>
                <c:pt idx="1">
                  <c:v>57</c:v>
                </c:pt>
                <c:pt idx="2">
                  <c:v>15</c:v>
                </c:pt>
                <c:pt idx="3">
                  <c:v>7</c:v>
                </c:pt>
                <c:pt idx="4">
                  <c:v>88</c:v>
                </c:pt>
                <c:pt idx="5">
                  <c:v>28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2-4598-8BE5-43EDE6CF63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78103104"/>
        <c:axId val="975507440"/>
      </c:barChart>
      <c:catAx>
        <c:axId val="978103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baseline="0"/>
                  <a:t>Curso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5507440"/>
        <c:crosses val="autoZero"/>
        <c:auto val="1"/>
        <c:lblAlgn val="ctr"/>
        <c:lblOffset val="100"/>
        <c:noMultiLvlLbl val="0"/>
      </c:catAx>
      <c:valAx>
        <c:axId val="9755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baseline="0"/>
                  <a:t>Número de alunos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10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387052</xdr:colOff>
      <xdr:row>1</xdr:row>
      <xdr:rowOff>533672</xdr:rowOff>
    </xdr:from>
    <xdr:to>
      <xdr:col>12</xdr:col>
      <xdr:colOff>86493</xdr:colOff>
      <xdr:row>17</xdr:row>
      <xdr:rowOff>21675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569976-FD19-FF8E-DA36-E26DCC6CC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366532</xdr:colOff>
      <xdr:row>18</xdr:row>
      <xdr:rowOff>12538</xdr:rowOff>
    </xdr:from>
    <xdr:to>
      <xdr:col>12</xdr:col>
      <xdr:colOff>77165</xdr:colOff>
      <xdr:row>36</xdr:row>
      <xdr:rowOff>-1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9E9DF1-E383-9C62-8A80-BC9097E23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W225" totalsRowShown="0">
  <autoFilter ref="A1:AW225" xr:uid="{00000000-0009-0000-0100-000001000000}"/>
  <tableColumns count="49">
    <tableColumn id="1" xr3:uid="{00000000-0010-0000-0000-000001000000}" name="ID" dataDxfId="48"/>
    <tableColumn id="9" xr3:uid="{00000000-0010-0000-0000-000009000000}" name="Sexo: " dataDxfId="47"/>
    <tableColumn id="12" xr3:uid="{00000000-0010-0000-0000-00000C000000}" name="Idade (anos):" dataDxfId="46"/>
    <tableColumn id="15" xr3:uid="{00000000-0010-0000-0000-00000F000000}" name="Peso (kg):" dataDxfId="45"/>
    <tableColumn id="18" xr3:uid="{00000000-0010-0000-0000-000012000000}" name="Altura (m): " dataDxfId="44"/>
    <tableColumn id="21" xr3:uid="{00000000-0010-0000-0000-000015000000}" name="Curso:" dataDxfId="43"/>
    <tableColumn id="24" xr3:uid="{00000000-0010-0000-0000-000018000000}" name="Período:" dataDxfId="42"/>
    <tableColumn id="27" xr3:uid="{00000000-0010-0000-0000-00001B000000}" name="Turno de estudo:" dataDxfId="41"/>
    <tableColumn id="30" xr3:uid="{00000000-0010-0000-0000-00001E000000}" name="Faz alguma atividade extraclasse. se sim qual (is)?" dataDxfId="40"/>
    <tableColumn id="33" xr3:uid="{00000000-0010-0000-0000-000021000000}" name="Se escolheu 'Outros' na questão de número 8. especifique aqui:" dataDxfId="39"/>
    <tableColumn id="36" xr3:uid="{00000000-0010-0000-0000-000024000000}" name="Cidade/procedência:" dataDxfId="38"/>
    <tableColumn id="39" xr3:uid="{00000000-0010-0000-0000-000027000000}" name="Estado:" dataDxfId="37"/>
    <tableColumn id="42" xr3:uid="{00000000-0010-0000-0000-00002A000000}" name="Com quem mora:" dataDxfId="36"/>
    <tableColumn id="45" xr3:uid="{00000000-0010-0000-0000-00002D000000}" name="Se escolheu 'Outros' na questão de número 12. especifique aqui:" dataDxfId="35"/>
    <tableColumn id="48" xr3:uid="{00000000-0010-0000-0000-000030000000}" name="Pais participam da vida escolar?" dataDxfId="34"/>
    <tableColumn id="53" xr3:uid="{00000000-0010-0000-0000-000035000000}" name="1- Com que frequência você usa seu celular na vida diária?              " dataDxfId="33"/>
    <tableColumn id="55" xr3:uid="{00000000-0010-0000-0000-000037000000}" name="Pontos 1         " dataDxfId="32"/>
    <tableColumn id="56" xr3:uid="{00000000-0010-0000-0000-000038000000}" name="2- Quantas vezes você não pode sair sem levar o celular?       " dataDxfId="31"/>
    <tableColumn id="58" xr3:uid="{00000000-0010-0000-0000-00003A000000}" name="Pontos 2     " dataDxfId="30"/>
    <tableColumn id="59" xr3:uid="{00000000-0010-0000-0000-00003B000000}" name="3-  Com que frequência você volta se esquecer de levar o celular?       " dataDxfId="29"/>
    <tableColumn id="60" xr3:uid="{00000000-0010-0000-0000-00003C000000}" name="Pontos 3" dataDxfId="28"/>
    <tableColumn id="62" xr3:uid="{00000000-0010-0000-0000-00003E000000}" name="4- Com que frequência você acessa a internet no celular?       " dataDxfId="27"/>
    <tableColumn id="63" xr3:uid="{00000000-0010-0000-0000-00003F000000}" name="Pontos –  4    " dataDxfId="26"/>
    <tableColumn id="65" xr3:uid="{00000000-0010-0000-0000-000041000000}" name="5- Quantas vezes você se sente ansioso quando   percebe que está sem o celular?       " dataDxfId="25"/>
    <tableColumn id="66" xr3:uid="{00000000-0010-0000-0000-000042000000}" name="Pontos 5      " dataDxfId="24"/>
    <tableColumn id="68" xr3:uid="{00000000-0010-0000-0000-000044000000}" name="6- Quantas vezes você se sente triste ou deprimido quando é desconectado da Internet ou das redes sociais através do seu celular?       " dataDxfId="23"/>
    <tableColumn id="69" xr3:uid="{00000000-0010-0000-0000-000045000000}" name="Pontos 6   " dataDxfId="22"/>
    <tableColumn id="71" xr3:uid="{00000000-0010-0000-0000-000047000000}" name="7- Quantas vezes você se sente nervoso por não ter o celular com você para se comunicar?       " dataDxfId="21"/>
    <tableColumn id="72" xr3:uid="{00000000-0010-0000-0000-000048000000}" name="Pontos 7      " dataDxfId="20"/>
    <tableColumn id="74" xr3:uid="{00000000-0010-0000-0000-00004A000000}" name="8- Quantas vezes você tem medo de sair sem o celular e se sentir doente na rua sem os meios para pedir ajuda imediata ou fazer contato com alguém em quem confia?       " dataDxfId="19"/>
    <tableColumn id="75" xr3:uid="{00000000-0010-0000-0000-00004B000000}" name="Pontos 8       " dataDxfId="18"/>
    <tableColumn id="77" xr3:uid="{00000000-0010-0000-0000-00004D000000}" name="9- Com que frequência você mantém o celular à mão?       " dataDxfId="17"/>
    <tableColumn id="78" xr3:uid="{00000000-0010-0000-0000-00004E000000}" name="Pontos 9       " dataDxfId="16"/>
    <tableColumn id="80" xr3:uid="{00000000-0010-0000-0000-000050000000}" name="10- Com que frequência você mantém o celular ligado 24 horas por dia?       " dataDxfId="15"/>
    <tableColumn id="81" xr3:uid="{00000000-0010-0000-0000-000051000000}" name="Pontos 10       " dataDxfId="14"/>
    <tableColumn id="83" xr3:uid="{00000000-0010-0000-0000-000053000000}" name="11- Com que frequência você dorme com o celular ligado?       " dataDxfId="13"/>
    <tableColumn id="84" xr3:uid="{00000000-0010-0000-0000-000054000000}" name="Pontos 11     " dataDxfId="12"/>
    <tableColumn id="86" xr3:uid="{00000000-0010-0000-0000-000056000000}" name="12- Com que frequência você acessa o celular mais de 30 vezes por dia para visualizar mensagens. e-mails etc.?       " dataDxfId="11"/>
    <tableColumn id="87" xr3:uid="{00000000-0010-0000-0000-000057000000}" name="Pontos 12       " dataDxfId="10"/>
    <tableColumn id="89" xr3:uid="{00000000-0010-0000-0000-000059000000}" name="13- Com que frequência você se mantém conectado   ao celular quando está com amigos ou família?       " dataDxfId="9"/>
    <tableColumn id="90" xr3:uid="{00000000-0010-0000-0000-00005A000000}" name="Pontos 13       " dataDxfId="8"/>
    <tableColumn id="92" xr3:uid="{00000000-0010-0000-0000-00005C000000}" name="14- Com que frequência você se sente sozinho se não participa de redes sociais ou quando não está em grupo enquanto outros estão?                     " dataDxfId="7"/>
    <tableColumn id="93" xr3:uid="{00000000-0010-0000-0000-00005D000000}" name="Pontos 14                    " dataDxfId="6"/>
    <tableColumn id="95" xr3:uid="{00000000-0010-0000-0000-00005F000000}" name="15- Quantas vezes  você mantém na agenda do celular o número de um médico. psicólogo ou hospital por medo de se sentir mal na rua?       " dataDxfId="5"/>
    <tableColumn id="96" xr3:uid="{00000000-0010-0000-0000-000060000000}" name="Pontos 15       " dataDxfId="4"/>
    <tableColumn id="98" xr3:uid="{00000000-0010-0000-0000-000062000000}" name="16- Com que frequência você toca no celular?       " dataDxfId="3"/>
    <tableColumn id="99" xr3:uid="{00000000-0010-0000-0000-000063000000}" name="Pontos 16       " dataDxfId="2"/>
    <tableColumn id="2" xr3:uid="{00000000-0010-0000-0000-000002000000}" name="Pontuação final" dataDxfId="1">
      <calculatedColumnFormula>SUM(Q2,S2,U2,W2,Y2,AA2,AC2,AE2,AG2,AI2,AK2,AM2,AO2,AQ2,AS2,AU2)</calculatedColumnFormula>
    </tableColumn>
    <tableColumn id="3" xr3:uid="{00000000-0010-0000-0000-000003000000}" name="Classificação" dataDxfId="0">
      <calculatedColumnFormula>IF(Table1[[#This Row],[Pontuação final]]&lt;=2,"Nenhum", IF(Table1[[#This Row],[Pontuação final]]&lt;=12,"Leve", IF(Table1[[#This Row],[Pontuação final]]&lt;=22,"Moderado", "Grave")))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25"/>
  <sheetViews>
    <sheetView topLeftCell="B2" workbookViewId="0">
      <selection activeCell="F77" sqref="F77"/>
    </sheetView>
  </sheetViews>
  <sheetFormatPr defaultRowHeight="14.4" x14ac:dyDescent="0.3"/>
  <cols>
    <col min="1" max="1" width="5.88671875" customWidth="1"/>
    <col min="2" max="2" width="15.109375" customWidth="1"/>
    <col min="3" max="3" width="12.88671875" customWidth="1"/>
    <col min="4" max="4" width="11.44140625" customWidth="1"/>
    <col min="5" max="5" width="12.109375" customWidth="1"/>
    <col min="6" max="6" width="34.5546875" bestFit="1" customWidth="1"/>
    <col min="7" max="7" width="11.109375" customWidth="1"/>
    <col min="8" max="8" width="18" customWidth="1"/>
    <col min="9" max="9" width="31.33203125" customWidth="1"/>
    <col min="10" max="11" width="20" bestFit="1" customWidth="1"/>
    <col min="12" max="12" width="19.33203125" customWidth="1"/>
    <col min="13" max="13" width="18.88671875" customWidth="1"/>
    <col min="14" max="15" width="20" bestFit="1" customWidth="1"/>
    <col min="16" max="16" width="17.88671875" customWidth="1"/>
    <col min="17" max="17" width="10.88671875" customWidth="1"/>
    <col min="18" max="18" width="19.6640625" customWidth="1"/>
    <col min="19" max="19" width="10.44140625" customWidth="1"/>
    <col min="20" max="20" width="18.88671875" customWidth="1"/>
    <col min="21" max="21" width="10.109375" customWidth="1"/>
    <col min="22" max="22" width="20" bestFit="1" customWidth="1"/>
    <col min="23" max="23" width="12.33203125" customWidth="1"/>
    <col min="24" max="24" width="20" bestFit="1" customWidth="1"/>
    <col min="25" max="25" width="10.44140625" customWidth="1"/>
    <col min="26" max="26" width="20" bestFit="1" customWidth="1"/>
    <col min="27" max="27" width="11" customWidth="1"/>
    <col min="28" max="28" width="20" bestFit="1" customWidth="1"/>
    <col min="29" max="29" width="11.109375" customWidth="1"/>
    <col min="30" max="30" width="20" bestFit="1" customWidth="1"/>
    <col min="31" max="31" width="10.88671875" customWidth="1"/>
    <col min="32" max="32" width="20" bestFit="1" customWidth="1"/>
    <col min="33" max="33" width="10.44140625" customWidth="1"/>
    <col min="34" max="34" width="20" bestFit="1" customWidth="1"/>
    <col min="35" max="35" width="11.44140625" customWidth="1"/>
    <col min="36" max="36" width="20" bestFit="1" customWidth="1"/>
    <col min="37" max="37" width="10.6640625" customWidth="1"/>
    <col min="38" max="38" width="20" bestFit="1" customWidth="1"/>
    <col min="39" max="39" width="11.109375" customWidth="1"/>
    <col min="40" max="40" width="20" bestFit="1" customWidth="1"/>
    <col min="41" max="41" width="12.109375" customWidth="1"/>
    <col min="42" max="42" width="20" bestFit="1" customWidth="1"/>
    <col min="43" max="43" width="12" customWidth="1"/>
    <col min="44" max="44" width="20" bestFit="1" customWidth="1"/>
    <col min="45" max="45" width="12" customWidth="1"/>
    <col min="46" max="46" width="20" bestFit="1" customWidth="1"/>
    <col min="47" max="47" width="11" customWidth="1"/>
    <col min="49" max="49" width="28.4414062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4" t="s">
        <v>47</v>
      </c>
      <c r="AW1" s="4" t="s">
        <v>48</v>
      </c>
    </row>
    <row r="2" spans="1:49" x14ac:dyDescent="0.3">
      <c r="A2">
        <v>2</v>
      </c>
      <c r="B2" t="s">
        <v>49</v>
      </c>
      <c r="C2" s="1">
        <v>18</v>
      </c>
      <c r="D2" s="1">
        <v>73</v>
      </c>
      <c r="E2">
        <v>1.84</v>
      </c>
      <c r="F2" t="s">
        <v>50</v>
      </c>
      <c r="G2" t="s">
        <v>51</v>
      </c>
      <c r="H2" t="s">
        <v>52</v>
      </c>
      <c r="I2" t="s">
        <v>53</v>
      </c>
      <c r="K2" t="s">
        <v>54</v>
      </c>
      <c r="L2" t="s">
        <v>55</v>
      </c>
      <c r="M2" t="s">
        <v>56</v>
      </c>
      <c r="O2" t="s">
        <v>57</v>
      </c>
      <c r="P2" t="s">
        <v>58</v>
      </c>
      <c r="Q2">
        <v>2</v>
      </c>
      <c r="R2" t="s">
        <v>58</v>
      </c>
      <c r="S2">
        <v>2</v>
      </c>
      <c r="T2" t="s">
        <v>59</v>
      </c>
      <c r="U2">
        <v>0</v>
      </c>
      <c r="V2" t="s">
        <v>58</v>
      </c>
      <c r="W2">
        <v>2</v>
      </c>
      <c r="X2" t="s">
        <v>59</v>
      </c>
      <c r="Y2">
        <v>0</v>
      </c>
      <c r="Z2" t="s">
        <v>59</v>
      </c>
      <c r="AA2">
        <v>0</v>
      </c>
      <c r="AB2" t="s">
        <v>59</v>
      </c>
      <c r="AC2">
        <v>0</v>
      </c>
      <c r="AD2" t="s">
        <v>60</v>
      </c>
      <c r="AE2">
        <v>1</v>
      </c>
      <c r="AF2" t="s">
        <v>60</v>
      </c>
      <c r="AG2">
        <v>1</v>
      </c>
      <c r="AH2" t="s">
        <v>58</v>
      </c>
      <c r="AI2">
        <v>2</v>
      </c>
      <c r="AJ2" t="s">
        <v>58</v>
      </c>
      <c r="AK2">
        <v>2</v>
      </c>
      <c r="AL2" t="s">
        <v>58</v>
      </c>
      <c r="AM2">
        <v>2</v>
      </c>
      <c r="AN2" t="s">
        <v>60</v>
      </c>
      <c r="AO2">
        <v>1</v>
      </c>
      <c r="AP2" t="s">
        <v>59</v>
      </c>
      <c r="AQ2">
        <v>0</v>
      </c>
      <c r="AR2" t="s">
        <v>60</v>
      </c>
      <c r="AS2">
        <v>1</v>
      </c>
      <c r="AT2" t="s">
        <v>58</v>
      </c>
      <c r="AU2">
        <v>2</v>
      </c>
      <c r="AV2">
        <f t="shared" ref="AV2:AV65" si="0">SUM(Q2,S2,U2,W2,Y2,AA2,AC2,AE2,AG2,AI2,AK2,AM2,AO2,AQ2,AS2,AU2)</f>
        <v>18</v>
      </c>
      <c r="AW2" t="str">
        <f>IF(Table1[[#This Row],[Pontuação final]]&lt;=2,"Nenhum", IF(Table1[[#This Row],[Pontuação final]]&lt;=12,"Leve", IF(Table1[[#This Row],[Pontuação final]]&lt;=22,"Moderado", "Grave")))</f>
        <v>Moderado</v>
      </c>
    </row>
    <row r="3" spans="1:49" x14ac:dyDescent="0.3">
      <c r="A3">
        <v>3</v>
      </c>
      <c r="B3" t="s">
        <v>49</v>
      </c>
      <c r="C3" s="1">
        <v>18</v>
      </c>
      <c r="D3" s="1">
        <v>75</v>
      </c>
      <c r="E3">
        <v>1.75</v>
      </c>
      <c r="F3" t="s">
        <v>61</v>
      </c>
      <c r="G3" t="s">
        <v>51</v>
      </c>
      <c r="H3" t="s">
        <v>52</v>
      </c>
      <c r="I3" t="s">
        <v>62</v>
      </c>
      <c r="K3" t="s">
        <v>63</v>
      </c>
      <c r="L3" t="s">
        <v>55</v>
      </c>
      <c r="M3" t="s">
        <v>64</v>
      </c>
      <c r="O3" t="s">
        <v>65</v>
      </c>
      <c r="P3" t="s">
        <v>58</v>
      </c>
      <c r="Q3">
        <v>2</v>
      </c>
      <c r="R3" t="s">
        <v>59</v>
      </c>
      <c r="S3">
        <v>0</v>
      </c>
      <c r="T3" t="s">
        <v>59</v>
      </c>
      <c r="U3">
        <v>0</v>
      </c>
      <c r="V3" t="s">
        <v>58</v>
      </c>
      <c r="W3">
        <v>2</v>
      </c>
      <c r="X3" t="s">
        <v>59</v>
      </c>
      <c r="Y3">
        <v>0</v>
      </c>
      <c r="Z3" t="s">
        <v>60</v>
      </c>
      <c r="AA3">
        <v>1</v>
      </c>
      <c r="AB3" t="s">
        <v>58</v>
      </c>
      <c r="AC3">
        <v>2</v>
      </c>
      <c r="AD3" t="s">
        <v>59</v>
      </c>
      <c r="AE3">
        <v>0</v>
      </c>
      <c r="AF3" t="s">
        <v>60</v>
      </c>
      <c r="AG3">
        <v>1</v>
      </c>
      <c r="AH3" t="s">
        <v>60</v>
      </c>
      <c r="AI3">
        <v>1</v>
      </c>
      <c r="AJ3" t="s">
        <v>60</v>
      </c>
      <c r="AK3">
        <v>1</v>
      </c>
      <c r="AL3" t="s">
        <v>58</v>
      </c>
      <c r="AM3">
        <v>2</v>
      </c>
      <c r="AN3" t="s">
        <v>60</v>
      </c>
      <c r="AO3">
        <v>1</v>
      </c>
      <c r="AP3" t="s">
        <v>60</v>
      </c>
      <c r="AQ3">
        <v>1</v>
      </c>
      <c r="AR3" t="s">
        <v>58</v>
      </c>
      <c r="AS3">
        <v>2</v>
      </c>
      <c r="AT3" t="s">
        <v>58</v>
      </c>
      <c r="AU3">
        <v>2</v>
      </c>
      <c r="AV3">
        <f t="shared" si="0"/>
        <v>18</v>
      </c>
      <c r="AW3" t="str">
        <f>IF(Table1[[#This Row],[Pontuação final]]&lt;=2,"Nenhum", IF(Table1[[#This Row],[Pontuação final]]&lt;=12,"Leve", IF(Table1[[#This Row],[Pontuação final]]&lt;=22,"Moderado", "Grave")))</f>
        <v>Moderado</v>
      </c>
    </row>
    <row r="4" spans="1:49" x14ac:dyDescent="0.3">
      <c r="A4">
        <v>4</v>
      </c>
      <c r="B4" t="s">
        <v>66</v>
      </c>
      <c r="C4" s="1">
        <v>22</v>
      </c>
      <c r="D4" s="1">
        <v>67</v>
      </c>
      <c r="E4" s="1">
        <v>1.73</v>
      </c>
      <c r="F4" t="s">
        <v>61</v>
      </c>
      <c r="G4" t="s">
        <v>67</v>
      </c>
      <c r="H4" t="s">
        <v>68</v>
      </c>
      <c r="I4" t="s">
        <v>69</v>
      </c>
      <c r="K4" t="s">
        <v>70</v>
      </c>
      <c r="L4" t="s">
        <v>55</v>
      </c>
      <c r="M4" t="s">
        <v>64</v>
      </c>
      <c r="O4" t="s">
        <v>57</v>
      </c>
      <c r="P4" t="s">
        <v>58</v>
      </c>
      <c r="Q4">
        <v>2</v>
      </c>
      <c r="R4" t="s">
        <v>59</v>
      </c>
      <c r="S4">
        <v>0</v>
      </c>
      <c r="T4" t="s">
        <v>59</v>
      </c>
      <c r="U4">
        <v>0</v>
      </c>
      <c r="V4" t="s">
        <v>58</v>
      </c>
      <c r="W4">
        <v>2</v>
      </c>
      <c r="X4" t="s">
        <v>59</v>
      </c>
      <c r="Y4">
        <v>0</v>
      </c>
      <c r="Z4" t="s">
        <v>59</v>
      </c>
      <c r="AA4">
        <v>0</v>
      </c>
      <c r="AB4" t="s">
        <v>60</v>
      </c>
      <c r="AC4">
        <v>1</v>
      </c>
      <c r="AD4" t="s">
        <v>60</v>
      </c>
      <c r="AE4">
        <v>1</v>
      </c>
      <c r="AF4" t="s">
        <v>60</v>
      </c>
      <c r="AG4">
        <v>1</v>
      </c>
      <c r="AH4" t="s">
        <v>58</v>
      </c>
      <c r="AI4">
        <v>2</v>
      </c>
      <c r="AJ4" t="s">
        <v>58</v>
      </c>
      <c r="AK4">
        <v>2</v>
      </c>
      <c r="AL4" t="s">
        <v>59</v>
      </c>
      <c r="AM4">
        <v>0</v>
      </c>
      <c r="AN4" t="s">
        <v>60</v>
      </c>
      <c r="AO4">
        <v>1</v>
      </c>
      <c r="AP4" t="s">
        <v>59</v>
      </c>
      <c r="AQ4">
        <v>0</v>
      </c>
      <c r="AR4" t="s">
        <v>60</v>
      </c>
      <c r="AS4">
        <v>1</v>
      </c>
      <c r="AT4" t="s">
        <v>59</v>
      </c>
      <c r="AU4">
        <v>0</v>
      </c>
      <c r="AV4">
        <f t="shared" si="0"/>
        <v>13</v>
      </c>
      <c r="AW4" t="str">
        <f>IF(Table1[[#This Row],[Pontuação final]]&lt;=2,"Nenhum", IF(Table1[[#This Row],[Pontuação final]]&lt;=12,"Leve", IF(Table1[[#This Row],[Pontuação final]]&lt;=22,"Moderado", "Grave")))</f>
        <v>Moderado</v>
      </c>
    </row>
    <row r="5" spans="1:49" x14ac:dyDescent="0.3">
      <c r="A5">
        <v>5</v>
      </c>
      <c r="B5" t="s">
        <v>49</v>
      </c>
      <c r="C5" s="1">
        <v>20</v>
      </c>
      <c r="D5" s="1">
        <v>85</v>
      </c>
      <c r="E5">
        <v>1.82</v>
      </c>
      <c r="F5" t="s">
        <v>50</v>
      </c>
      <c r="G5" t="s">
        <v>71</v>
      </c>
      <c r="H5" t="s">
        <v>52</v>
      </c>
      <c r="I5" t="s">
        <v>72</v>
      </c>
      <c r="K5" t="s">
        <v>73</v>
      </c>
      <c r="L5" t="s">
        <v>74</v>
      </c>
      <c r="M5" t="s">
        <v>75</v>
      </c>
      <c r="O5" t="s">
        <v>57</v>
      </c>
      <c r="P5" t="s">
        <v>60</v>
      </c>
      <c r="Q5">
        <v>1</v>
      </c>
      <c r="R5" t="s">
        <v>59</v>
      </c>
      <c r="S5">
        <v>0</v>
      </c>
      <c r="T5" t="s">
        <v>59</v>
      </c>
      <c r="U5">
        <v>0</v>
      </c>
      <c r="V5" t="s">
        <v>60</v>
      </c>
      <c r="W5">
        <v>1</v>
      </c>
      <c r="X5" t="s">
        <v>59</v>
      </c>
      <c r="Y5">
        <v>0</v>
      </c>
      <c r="Z5" t="s">
        <v>59</v>
      </c>
      <c r="AA5">
        <v>0</v>
      </c>
      <c r="AB5" t="s">
        <v>59</v>
      </c>
      <c r="AC5">
        <v>0</v>
      </c>
      <c r="AD5" t="s">
        <v>59</v>
      </c>
      <c r="AE5">
        <v>0</v>
      </c>
      <c r="AF5" t="s">
        <v>60</v>
      </c>
      <c r="AG5">
        <v>1</v>
      </c>
      <c r="AH5" t="s">
        <v>59</v>
      </c>
      <c r="AI5">
        <v>0</v>
      </c>
      <c r="AJ5" t="s">
        <v>59</v>
      </c>
      <c r="AK5">
        <v>0</v>
      </c>
      <c r="AL5" t="s">
        <v>60</v>
      </c>
      <c r="AM5">
        <v>1</v>
      </c>
      <c r="AN5" t="s">
        <v>59</v>
      </c>
      <c r="AO5">
        <v>0</v>
      </c>
      <c r="AP5" t="s">
        <v>59</v>
      </c>
      <c r="AQ5">
        <v>0</v>
      </c>
      <c r="AR5" t="s">
        <v>59</v>
      </c>
      <c r="AS5">
        <v>0</v>
      </c>
      <c r="AT5" t="s">
        <v>60</v>
      </c>
      <c r="AU5">
        <v>1</v>
      </c>
      <c r="AV5">
        <f t="shared" si="0"/>
        <v>5</v>
      </c>
      <c r="AW5" t="str">
        <f>IF(Table1[[#This Row],[Pontuação final]]&lt;=2,"Nenhum", IF(Table1[[#This Row],[Pontuação final]]&lt;=12,"Leve", IF(Table1[[#This Row],[Pontuação final]]&lt;=22,"Moderado", "Grave")))</f>
        <v>Leve</v>
      </c>
    </row>
    <row r="6" spans="1:49" x14ac:dyDescent="0.3">
      <c r="A6">
        <v>6</v>
      </c>
      <c r="B6" t="s">
        <v>49</v>
      </c>
      <c r="C6" s="1">
        <v>19</v>
      </c>
      <c r="D6" s="1">
        <v>64</v>
      </c>
      <c r="E6" s="1">
        <v>1.9</v>
      </c>
      <c r="F6" t="s">
        <v>76</v>
      </c>
      <c r="G6" t="s">
        <v>77</v>
      </c>
      <c r="H6" t="s">
        <v>52</v>
      </c>
      <c r="I6" t="s">
        <v>53</v>
      </c>
      <c r="K6" t="s">
        <v>78</v>
      </c>
      <c r="L6" t="s">
        <v>55</v>
      </c>
      <c r="M6" t="s">
        <v>75</v>
      </c>
      <c r="O6" t="s">
        <v>65</v>
      </c>
      <c r="P6" t="s">
        <v>58</v>
      </c>
      <c r="Q6">
        <v>2</v>
      </c>
      <c r="R6" t="s">
        <v>59</v>
      </c>
      <c r="S6">
        <v>0</v>
      </c>
      <c r="T6" t="s">
        <v>59</v>
      </c>
      <c r="U6">
        <v>0</v>
      </c>
      <c r="V6" t="s">
        <v>58</v>
      </c>
      <c r="W6">
        <v>2</v>
      </c>
      <c r="X6" t="s">
        <v>59</v>
      </c>
      <c r="Y6">
        <v>0</v>
      </c>
      <c r="Z6" t="s">
        <v>59</v>
      </c>
      <c r="AA6">
        <v>0</v>
      </c>
      <c r="AB6" t="s">
        <v>59</v>
      </c>
      <c r="AC6">
        <v>0</v>
      </c>
      <c r="AD6" t="s">
        <v>59</v>
      </c>
      <c r="AE6">
        <v>0</v>
      </c>
      <c r="AF6" t="s">
        <v>60</v>
      </c>
      <c r="AG6">
        <v>1</v>
      </c>
      <c r="AH6" t="s">
        <v>60</v>
      </c>
      <c r="AI6">
        <v>1</v>
      </c>
      <c r="AJ6" t="s">
        <v>58</v>
      </c>
      <c r="AK6">
        <v>2</v>
      </c>
      <c r="AL6" t="s">
        <v>60</v>
      </c>
      <c r="AM6">
        <v>1</v>
      </c>
      <c r="AN6" t="s">
        <v>59</v>
      </c>
      <c r="AO6">
        <v>0</v>
      </c>
      <c r="AP6" t="s">
        <v>59</v>
      </c>
      <c r="AQ6">
        <v>0</v>
      </c>
      <c r="AR6" t="s">
        <v>59</v>
      </c>
      <c r="AS6">
        <v>0</v>
      </c>
      <c r="AT6" t="s">
        <v>60</v>
      </c>
      <c r="AU6">
        <v>1</v>
      </c>
      <c r="AV6">
        <f t="shared" si="0"/>
        <v>10</v>
      </c>
      <c r="AW6" t="str">
        <f>IF(Table1[[#This Row],[Pontuação final]]&lt;=2,"Nenhum", IF(Table1[[#This Row],[Pontuação final]]&lt;=12,"Leve", IF(Table1[[#This Row],[Pontuação final]]&lt;=22,"Moderado", "Grave")))</f>
        <v>Leve</v>
      </c>
    </row>
    <row r="7" spans="1:49" x14ac:dyDescent="0.3">
      <c r="A7">
        <v>7</v>
      </c>
      <c r="B7" t="s">
        <v>49</v>
      </c>
      <c r="C7" s="1">
        <v>19</v>
      </c>
      <c r="D7">
        <v>95</v>
      </c>
      <c r="E7" s="1">
        <v>1.92</v>
      </c>
      <c r="F7" t="s">
        <v>61</v>
      </c>
      <c r="G7" t="s">
        <v>79</v>
      </c>
      <c r="H7" t="s">
        <v>52</v>
      </c>
      <c r="I7" t="s">
        <v>80</v>
      </c>
      <c r="K7" t="s">
        <v>70</v>
      </c>
      <c r="L7" t="s">
        <v>55</v>
      </c>
      <c r="M7" t="s">
        <v>64</v>
      </c>
      <c r="O7" t="s">
        <v>57</v>
      </c>
      <c r="P7" t="s">
        <v>58</v>
      </c>
      <c r="Q7">
        <v>2</v>
      </c>
      <c r="R7" t="s">
        <v>60</v>
      </c>
      <c r="S7">
        <v>1</v>
      </c>
      <c r="T7" t="s">
        <v>60</v>
      </c>
      <c r="U7">
        <v>1</v>
      </c>
      <c r="V7" t="s">
        <v>58</v>
      </c>
      <c r="W7">
        <v>2</v>
      </c>
      <c r="X7" t="s">
        <v>60</v>
      </c>
      <c r="Y7">
        <v>1</v>
      </c>
      <c r="Z7" t="s">
        <v>59</v>
      </c>
      <c r="AA7">
        <v>0</v>
      </c>
      <c r="AB7" t="s">
        <v>60</v>
      </c>
      <c r="AC7">
        <v>1</v>
      </c>
      <c r="AD7" t="s">
        <v>59</v>
      </c>
      <c r="AE7">
        <v>0</v>
      </c>
      <c r="AF7" t="s">
        <v>60</v>
      </c>
      <c r="AG7">
        <v>1</v>
      </c>
      <c r="AH7" t="s">
        <v>58</v>
      </c>
      <c r="AI7">
        <v>2</v>
      </c>
      <c r="AJ7" t="s">
        <v>59</v>
      </c>
      <c r="AK7">
        <v>0</v>
      </c>
      <c r="AL7" t="s">
        <v>60</v>
      </c>
      <c r="AM7">
        <v>1</v>
      </c>
      <c r="AN7" t="s">
        <v>60</v>
      </c>
      <c r="AO7">
        <v>1</v>
      </c>
      <c r="AP7" t="s">
        <v>60</v>
      </c>
      <c r="AQ7">
        <v>1</v>
      </c>
      <c r="AR7" t="s">
        <v>59</v>
      </c>
      <c r="AS7">
        <v>0</v>
      </c>
      <c r="AT7" t="s">
        <v>58</v>
      </c>
      <c r="AU7">
        <v>2</v>
      </c>
      <c r="AV7">
        <f t="shared" si="0"/>
        <v>16</v>
      </c>
      <c r="AW7" t="str">
        <f>IF(Table1[[#This Row],[Pontuação final]]&lt;=2,"Nenhum", IF(Table1[[#This Row],[Pontuação final]]&lt;=12,"Leve", IF(Table1[[#This Row],[Pontuação final]]&lt;=22,"Moderado", "Grave")))</f>
        <v>Moderado</v>
      </c>
    </row>
    <row r="8" spans="1:49" x14ac:dyDescent="0.3">
      <c r="A8">
        <v>8</v>
      </c>
      <c r="B8" t="s">
        <v>49</v>
      </c>
      <c r="C8" s="1">
        <v>19</v>
      </c>
      <c r="D8" s="1">
        <v>56</v>
      </c>
      <c r="E8">
        <v>1.7</v>
      </c>
      <c r="F8" t="s">
        <v>76</v>
      </c>
      <c r="G8" t="s">
        <v>51</v>
      </c>
      <c r="H8" t="s">
        <v>52</v>
      </c>
      <c r="I8" t="s">
        <v>81</v>
      </c>
      <c r="K8" t="s">
        <v>63</v>
      </c>
      <c r="L8" t="s">
        <v>55</v>
      </c>
      <c r="M8" t="s">
        <v>56</v>
      </c>
      <c r="O8" t="s">
        <v>82</v>
      </c>
      <c r="P8" t="s">
        <v>58</v>
      </c>
      <c r="Q8">
        <v>2</v>
      </c>
      <c r="R8" t="s">
        <v>58</v>
      </c>
      <c r="S8">
        <v>2</v>
      </c>
      <c r="T8" t="s">
        <v>58</v>
      </c>
      <c r="U8">
        <v>2</v>
      </c>
      <c r="V8" t="s">
        <v>60</v>
      </c>
      <c r="W8">
        <v>1</v>
      </c>
      <c r="X8" t="s">
        <v>59</v>
      </c>
      <c r="Y8">
        <v>0</v>
      </c>
      <c r="Z8" t="s">
        <v>59</v>
      </c>
      <c r="AA8">
        <v>0</v>
      </c>
      <c r="AB8" t="s">
        <v>59</v>
      </c>
      <c r="AC8">
        <v>0</v>
      </c>
      <c r="AD8" t="s">
        <v>59</v>
      </c>
      <c r="AE8">
        <v>0</v>
      </c>
      <c r="AF8" t="s">
        <v>60</v>
      </c>
      <c r="AG8">
        <v>1</v>
      </c>
      <c r="AH8" t="s">
        <v>60</v>
      </c>
      <c r="AI8">
        <v>1</v>
      </c>
      <c r="AJ8" t="s">
        <v>58</v>
      </c>
      <c r="AK8">
        <v>2</v>
      </c>
      <c r="AL8" t="s">
        <v>58</v>
      </c>
      <c r="AM8">
        <v>2</v>
      </c>
      <c r="AN8" t="s">
        <v>59</v>
      </c>
      <c r="AO8">
        <v>0</v>
      </c>
      <c r="AP8" t="s">
        <v>59</v>
      </c>
      <c r="AQ8">
        <v>0</v>
      </c>
      <c r="AR8" t="s">
        <v>59</v>
      </c>
      <c r="AS8">
        <v>0</v>
      </c>
      <c r="AT8" t="s">
        <v>58</v>
      </c>
      <c r="AU8">
        <v>2</v>
      </c>
      <c r="AV8">
        <f t="shared" si="0"/>
        <v>15</v>
      </c>
      <c r="AW8" t="str">
        <f>IF(Table1[[#This Row],[Pontuação final]]&lt;=2,"Nenhum", IF(Table1[[#This Row],[Pontuação final]]&lt;=12,"Leve", IF(Table1[[#This Row],[Pontuação final]]&lt;=22,"Moderado", "Grave")))</f>
        <v>Moderado</v>
      </c>
    </row>
    <row r="9" spans="1:49" x14ac:dyDescent="0.3">
      <c r="A9">
        <v>9</v>
      </c>
      <c r="B9" t="s">
        <v>66</v>
      </c>
      <c r="C9" s="1">
        <v>20</v>
      </c>
      <c r="D9" s="1">
        <v>85</v>
      </c>
      <c r="E9">
        <v>1.66</v>
      </c>
      <c r="F9" t="s">
        <v>61</v>
      </c>
      <c r="G9" t="s">
        <v>83</v>
      </c>
      <c r="H9" t="s">
        <v>52</v>
      </c>
      <c r="I9" t="s">
        <v>62</v>
      </c>
      <c r="J9" t="s">
        <v>84</v>
      </c>
      <c r="K9" t="s">
        <v>70</v>
      </c>
      <c r="L9" t="s">
        <v>55</v>
      </c>
      <c r="M9" t="s">
        <v>64</v>
      </c>
      <c r="O9" t="s">
        <v>65</v>
      </c>
      <c r="P9" t="s">
        <v>58</v>
      </c>
      <c r="Q9">
        <v>2</v>
      </c>
      <c r="R9" t="s">
        <v>60</v>
      </c>
      <c r="S9">
        <v>1</v>
      </c>
      <c r="T9" t="s">
        <v>59</v>
      </c>
      <c r="U9">
        <v>0</v>
      </c>
      <c r="V9" t="s">
        <v>58</v>
      </c>
      <c r="W9">
        <v>2</v>
      </c>
      <c r="X9" t="s">
        <v>60</v>
      </c>
      <c r="Y9">
        <v>1</v>
      </c>
      <c r="Z9" t="s">
        <v>59</v>
      </c>
      <c r="AA9">
        <v>0</v>
      </c>
      <c r="AB9" t="s">
        <v>60</v>
      </c>
      <c r="AC9">
        <v>1</v>
      </c>
      <c r="AD9" t="s">
        <v>60</v>
      </c>
      <c r="AE9">
        <v>1</v>
      </c>
      <c r="AF9" t="s">
        <v>60</v>
      </c>
      <c r="AG9">
        <v>1</v>
      </c>
      <c r="AH9" t="s">
        <v>59</v>
      </c>
      <c r="AI9">
        <v>0</v>
      </c>
      <c r="AJ9" t="s">
        <v>59</v>
      </c>
      <c r="AK9">
        <v>0</v>
      </c>
      <c r="AL9" t="s">
        <v>58</v>
      </c>
      <c r="AM9">
        <v>2</v>
      </c>
      <c r="AN9" t="s">
        <v>60</v>
      </c>
      <c r="AO9">
        <v>1</v>
      </c>
      <c r="AP9" t="s">
        <v>59</v>
      </c>
      <c r="AQ9">
        <v>0</v>
      </c>
      <c r="AR9" t="s">
        <v>59</v>
      </c>
      <c r="AS9">
        <v>0</v>
      </c>
      <c r="AT9" t="s">
        <v>58</v>
      </c>
      <c r="AU9">
        <v>2</v>
      </c>
      <c r="AV9">
        <f t="shared" si="0"/>
        <v>14</v>
      </c>
      <c r="AW9" t="str">
        <f>IF(Table1[[#This Row],[Pontuação final]]&lt;=2,"Nenhum", IF(Table1[[#This Row],[Pontuação final]]&lt;=12,"Leve", IF(Table1[[#This Row],[Pontuação final]]&lt;=22,"Moderado", "Grave")))</f>
        <v>Moderado</v>
      </c>
    </row>
    <row r="10" spans="1:49" x14ac:dyDescent="0.3">
      <c r="A10">
        <v>10</v>
      </c>
      <c r="B10" t="s">
        <v>66</v>
      </c>
      <c r="C10" s="1">
        <v>21</v>
      </c>
      <c r="D10" s="1">
        <v>66</v>
      </c>
      <c r="E10" s="1">
        <v>1.62</v>
      </c>
      <c r="F10" t="s">
        <v>50</v>
      </c>
      <c r="G10" t="s">
        <v>67</v>
      </c>
      <c r="H10" t="s">
        <v>52</v>
      </c>
      <c r="I10" t="s">
        <v>72</v>
      </c>
      <c r="K10" t="s">
        <v>74</v>
      </c>
      <c r="L10" t="s">
        <v>74</v>
      </c>
      <c r="M10" t="s">
        <v>64</v>
      </c>
      <c r="O10" t="s">
        <v>65</v>
      </c>
      <c r="P10" t="s">
        <v>58</v>
      </c>
      <c r="Q10">
        <v>2</v>
      </c>
      <c r="R10" t="s">
        <v>58</v>
      </c>
      <c r="S10">
        <v>2</v>
      </c>
      <c r="T10" t="s">
        <v>59</v>
      </c>
      <c r="U10">
        <v>0</v>
      </c>
      <c r="V10" t="s">
        <v>58</v>
      </c>
      <c r="W10">
        <v>2</v>
      </c>
      <c r="X10" t="s">
        <v>60</v>
      </c>
      <c r="Y10">
        <v>1</v>
      </c>
      <c r="Z10" t="s">
        <v>58</v>
      </c>
      <c r="AA10">
        <v>2</v>
      </c>
      <c r="AB10" t="s">
        <v>58</v>
      </c>
      <c r="AC10">
        <v>2</v>
      </c>
      <c r="AD10" t="s">
        <v>58</v>
      </c>
      <c r="AE10">
        <v>2</v>
      </c>
      <c r="AF10" t="s">
        <v>60</v>
      </c>
      <c r="AG10">
        <v>1</v>
      </c>
      <c r="AH10" t="s">
        <v>58</v>
      </c>
      <c r="AI10">
        <v>2</v>
      </c>
      <c r="AJ10" t="s">
        <v>60</v>
      </c>
      <c r="AK10">
        <v>1</v>
      </c>
      <c r="AL10" t="s">
        <v>60</v>
      </c>
      <c r="AM10">
        <v>1</v>
      </c>
      <c r="AN10" t="s">
        <v>60</v>
      </c>
      <c r="AO10">
        <v>1</v>
      </c>
      <c r="AP10" t="s">
        <v>60</v>
      </c>
      <c r="AQ10">
        <v>1</v>
      </c>
      <c r="AR10" t="s">
        <v>59</v>
      </c>
      <c r="AS10">
        <v>0</v>
      </c>
      <c r="AT10" t="s">
        <v>60</v>
      </c>
      <c r="AU10">
        <v>1</v>
      </c>
      <c r="AV10">
        <f t="shared" si="0"/>
        <v>21</v>
      </c>
      <c r="AW10" t="str">
        <f>IF(Table1[[#This Row],[Pontuação final]]&lt;=2,"Nenhum", IF(Table1[[#This Row],[Pontuação final]]&lt;=12,"Leve", IF(Table1[[#This Row],[Pontuação final]]&lt;=22,"Moderado", "Grave")))</f>
        <v>Moderado</v>
      </c>
    </row>
    <row r="11" spans="1:49" x14ac:dyDescent="0.3">
      <c r="A11">
        <v>11</v>
      </c>
      <c r="B11" t="s">
        <v>49</v>
      </c>
      <c r="C11" s="1">
        <v>20</v>
      </c>
      <c r="D11" s="1">
        <v>58</v>
      </c>
      <c r="E11" s="1">
        <v>1.71</v>
      </c>
      <c r="F11" t="s">
        <v>50</v>
      </c>
      <c r="G11" t="s">
        <v>85</v>
      </c>
      <c r="H11" t="s">
        <v>52</v>
      </c>
      <c r="I11" t="s">
        <v>80</v>
      </c>
      <c r="K11" t="s">
        <v>86</v>
      </c>
      <c r="L11" t="s">
        <v>55</v>
      </c>
      <c r="M11" t="s">
        <v>56</v>
      </c>
      <c r="O11" t="s">
        <v>82</v>
      </c>
      <c r="P11" t="s">
        <v>58</v>
      </c>
      <c r="Q11">
        <v>2</v>
      </c>
      <c r="R11" t="s">
        <v>59</v>
      </c>
      <c r="S11">
        <v>0</v>
      </c>
      <c r="T11" t="s">
        <v>58</v>
      </c>
      <c r="U11">
        <v>2</v>
      </c>
      <c r="V11" t="s">
        <v>58</v>
      </c>
      <c r="W11">
        <v>2</v>
      </c>
      <c r="X11" t="s">
        <v>60</v>
      </c>
      <c r="Y11">
        <v>1</v>
      </c>
      <c r="Z11" t="s">
        <v>60</v>
      </c>
      <c r="AA11">
        <v>1</v>
      </c>
      <c r="AB11" t="s">
        <v>60</v>
      </c>
      <c r="AC11">
        <v>1</v>
      </c>
      <c r="AD11" t="s">
        <v>59</v>
      </c>
      <c r="AE11">
        <v>0</v>
      </c>
      <c r="AF11" t="s">
        <v>60</v>
      </c>
      <c r="AG11">
        <v>1</v>
      </c>
      <c r="AH11" t="s">
        <v>58</v>
      </c>
      <c r="AI11">
        <v>2</v>
      </c>
      <c r="AJ11" t="s">
        <v>59</v>
      </c>
      <c r="AK11">
        <v>0</v>
      </c>
      <c r="AL11" t="s">
        <v>58</v>
      </c>
      <c r="AM11">
        <v>2</v>
      </c>
      <c r="AN11" t="s">
        <v>60</v>
      </c>
      <c r="AO11">
        <v>1</v>
      </c>
      <c r="AP11" t="s">
        <v>59</v>
      </c>
      <c r="AQ11">
        <v>0</v>
      </c>
      <c r="AR11" t="s">
        <v>59</v>
      </c>
      <c r="AS11">
        <v>0</v>
      </c>
      <c r="AT11" t="s">
        <v>58</v>
      </c>
      <c r="AU11">
        <v>2</v>
      </c>
      <c r="AV11">
        <f t="shared" si="0"/>
        <v>17</v>
      </c>
      <c r="AW11" t="str">
        <f>IF(Table1[[#This Row],[Pontuação final]]&lt;=2,"Nenhum", IF(Table1[[#This Row],[Pontuação final]]&lt;=12,"Leve", IF(Table1[[#This Row],[Pontuação final]]&lt;=22,"Moderado", "Grave")))</f>
        <v>Moderado</v>
      </c>
    </row>
    <row r="12" spans="1:49" x14ac:dyDescent="0.3">
      <c r="A12">
        <v>12</v>
      </c>
      <c r="B12" t="s">
        <v>66</v>
      </c>
      <c r="C12" s="1">
        <v>29</v>
      </c>
      <c r="D12" s="1">
        <v>75</v>
      </c>
      <c r="E12" s="1">
        <v>1.69</v>
      </c>
      <c r="F12" t="s">
        <v>76</v>
      </c>
      <c r="G12" t="s">
        <v>71</v>
      </c>
      <c r="H12" t="s">
        <v>68</v>
      </c>
      <c r="I12" t="s">
        <v>87</v>
      </c>
      <c r="K12" t="s">
        <v>88</v>
      </c>
      <c r="L12" t="s">
        <v>55</v>
      </c>
      <c r="M12" t="s">
        <v>75</v>
      </c>
      <c r="O12" t="s">
        <v>82</v>
      </c>
      <c r="P12" t="s">
        <v>58</v>
      </c>
      <c r="Q12">
        <v>2</v>
      </c>
      <c r="R12" t="s">
        <v>59</v>
      </c>
      <c r="S12">
        <v>0</v>
      </c>
      <c r="T12" t="s">
        <v>58</v>
      </c>
      <c r="U12">
        <v>2</v>
      </c>
      <c r="V12" t="s">
        <v>58</v>
      </c>
      <c r="W12">
        <v>2</v>
      </c>
      <c r="X12" t="s">
        <v>58</v>
      </c>
      <c r="Y12">
        <v>2</v>
      </c>
      <c r="Z12" t="s">
        <v>58</v>
      </c>
      <c r="AA12">
        <v>2</v>
      </c>
      <c r="AB12" t="s">
        <v>58</v>
      </c>
      <c r="AC12">
        <v>2</v>
      </c>
      <c r="AD12" t="s">
        <v>58</v>
      </c>
      <c r="AE12">
        <v>2</v>
      </c>
      <c r="AF12" t="s">
        <v>58</v>
      </c>
      <c r="AG12">
        <v>2</v>
      </c>
      <c r="AH12" t="s">
        <v>58</v>
      </c>
      <c r="AI12">
        <v>2</v>
      </c>
      <c r="AJ12" t="s">
        <v>58</v>
      </c>
      <c r="AK12">
        <v>2</v>
      </c>
      <c r="AL12" t="s">
        <v>58</v>
      </c>
      <c r="AM12">
        <v>2</v>
      </c>
      <c r="AN12" t="s">
        <v>58</v>
      </c>
      <c r="AO12">
        <v>2</v>
      </c>
      <c r="AP12" t="s">
        <v>58</v>
      </c>
      <c r="AQ12">
        <v>2</v>
      </c>
      <c r="AR12" t="s">
        <v>60</v>
      </c>
      <c r="AS12">
        <v>1</v>
      </c>
      <c r="AT12" t="s">
        <v>58</v>
      </c>
      <c r="AU12">
        <v>2</v>
      </c>
      <c r="AV12">
        <f t="shared" si="0"/>
        <v>29</v>
      </c>
      <c r="AW12" t="str">
        <f>IF(Table1[[#This Row],[Pontuação final]]&lt;=2,"Nenhum", IF(Table1[[#This Row],[Pontuação final]]&lt;=12,"Leve", IF(Table1[[#This Row],[Pontuação final]]&lt;=22,"Moderado", "Grave")))</f>
        <v>Grave</v>
      </c>
    </row>
    <row r="13" spans="1:49" x14ac:dyDescent="0.3">
      <c r="A13">
        <v>13</v>
      </c>
      <c r="B13" t="s">
        <v>49</v>
      </c>
      <c r="C13" s="1">
        <v>21</v>
      </c>
      <c r="D13" s="1">
        <v>68</v>
      </c>
      <c r="E13">
        <v>1.8</v>
      </c>
      <c r="F13" t="s">
        <v>50</v>
      </c>
      <c r="G13" t="s">
        <v>71</v>
      </c>
      <c r="H13" t="s">
        <v>68</v>
      </c>
      <c r="I13" t="s">
        <v>53</v>
      </c>
      <c r="K13" t="s">
        <v>89</v>
      </c>
      <c r="L13" t="s">
        <v>55</v>
      </c>
      <c r="M13" t="s">
        <v>64</v>
      </c>
      <c r="O13" t="s">
        <v>57</v>
      </c>
      <c r="P13" t="s">
        <v>58</v>
      </c>
      <c r="Q13">
        <v>2</v>
      </c>
      <c r="R13" t="s">
        <v>58</v>
      </c>
      <c r="S13">
        <v>2</v>
      </c>
      <c r="T13" t="s">
        <v>58</v>
      </c>
      <c r="U13">
        <v>2</v>
      </c>
      <c r="V13" t="s">
        <v>58</v>
      </c>
      <c r="W13">
        <v>2</v>
      </c>
      <c r="X13" t="s">
        <v>60</v>
      </c>
      <c r="Y13">
        <v>1</v>
      </c>
      <c r="Z13" t="s">
        <v>59</v>
      </c>
      <c r="AA13">
        <v>0</v>
      </c>
      <c r="AB13" t="s">
        <v>60</v>
      </c>
      <c r="AC13">
        <v>1</v>
      </c>
      <c r="AD13" t="s">
        <v>58</v>
      </c>
      <c r="AE13">
        <v>2</v>
      </c>
      <c r="AF13" t="s">
        <v>60</v>
      </c>
      <c r="AG13">
        <v>1</v>
      </c>
      <c r="AH13" t="s">
        <v>58</v>
      </c>
      <c r="AI13">
        <v>2</v>
      </c>
      <c r="AJ13" t="s">
        <v>58</v>
      </c>
      <c r="AK13">
        <v>2</v>
      </c>
      <c r="AL13" t="s">
        <v>58</v>
      </c>
      <c r="AM13">
        <v>2</v>
      </c>
      <c r="AN13" t="s">
        <v>60</v>
      </c>
      <c r="AO13">
        <v>1</v>
      </c>
      <c r="AP13" t="s">
        <v>60</v>
      </c>
      <c r="AQ13">
        <v>1</v>
      </c>
      <c r="AR13" t="s">
        <v>59</v>
      </c>
      <c r="AS13">
        <v>0</v>
      </c>
      <c r="AT13" t="s">
        <v>58</v>
      </c>
      <c r="AU13">
        <v>2</v>
      </c>
      <c r="AV13">
        <f t="shared" si="0"/>
        <v>23</v>
      </c>
      <c r="AW13" t="str">
        <f>IF(Table1[[#This Row],[Pontuação final]]&lt;=2,"Nenhum", IF(Table1[[#This Row],[Pontuação final]]&lt;=12,"Leve", IF(Table1[[#This Row],[Pontuação final]]&lt;=22,"Moderado", "Grave")))</f>
        <v>Grave</v>
      </c>
    </row>
    <row r="14" spans="1:49" x14ac:dyDescent="0.3">
      <c r="A14">
        <v>14</v>
      </c>
      <c r="B14" t="s">
        <v>66</v>
      </c>
      <c r="C14" s="1">
        <v>24</v>
      </c>
      <c r="D14" s="1">
        <v>75</v>
      </c>
      <c r="E14" s="1">
        <v>1.62</v>
      </c>
      <c r="F14" t="s">
        <v>61</v>
      </c>
      <c r="G14" t="s">
        <v>90</v>
      </c>
      <c r="H14" t="s">
        <v>68</v>
      </c>
      <c r="I14" t="s">
        <v>72</v>
      </c>
      <c r="K14" t="s">
        <v>91</v>
      </c>
      <c r="L14" t="s">
        <v>55</v>
      </c>
      <c r="M14" t="s">
        <v>92</v>
      </c>
      <c r="N14" t="s">
        <v>93</v>
      </c>
      <c r="O14" t="s">
        <v>57</v>
      </c>
      <c r="P14" t="s">
        <v>58</v>
      </c>
      <c r="Q14">
        <v>2</v>
      </c>
      <c r="R14" t="s">
        <v>58</v>
      </c>
      <c r="S14">
        <v>2</v>
      </c>
      <c r="T14" t="s">
        <v>60</v>
      </c>
      <c r="U14">
        <v>1</v>
      </c>
      <c r="V14" t="s">
        <v>58</v>
      </c>
      <c r="W14">
        <v>2</v>
      </c>
      <c r="X14" t="s">
        <v>59</v>
      </c>
      <c r="Y14">
        <v>0</v>
      </c>
      <c r="Z14" t="s">
        <v>59</v>
      </c>
      <c r="AA14">
        <v>0</v>
      </c>
      <c r="AB14" t="s">
        <v>59</v>
      </c>
      <c r="AC14">
        <v>0</v>
      </c>
      <c r="AD14" t="s">
        <v>58</v>
      </c>
      <c r="AE14">
        <v>2</v>
      </c>
      <c r="AF14" t="s">
        <v>60</v>
      </c>
      <c r="AG14">
        <v>1</v>
      </c>
      <c r="AH14" t="s">
        <v>60</v>
      </c>
      <c r="AI14">
        <v>1</v>
      </c>
      <c r="AJ14" t="s">
        <v>59</v>
      </c>
      <c r="AK14">
        <v>0</v>
      </c>
      <c r="AL14" t="s">
        <v>60</v>
      </c>
      <c r="AM14">
        <v>1</v>
      </c>
      <c r="AN14" t="s">
        <v>59</v>
      </c>
      <c r="AO14">
        <v>0</v>
      </c>
      <c r="AP14" t="s">
        <v>59</v>
      </c>
      <c r="AQ14">
        <v>0</v>
      </c>
      <c r="AR14" t="s">
        <v>58</v>
      </c>
      <c r="AS14">
        <v>2</v>
      </c>
      <c r="AT14" t="s">
        <v>60</v>
      </c>
      <c r="AU14">
        <v>1</v>
      </c>
      <c r="AV14">
        <f t="shared" si="0"/>
        <v>15</v>
      </c>
      <c r="AW14" t="str">
        <f>IF(Table1[[#This Row],[Pontuação final]]&lt;=2,"Nenhum", IF(Table1[[#This Row],[Pontuação final]]&lt;=12,"Leve", IF(Table1[[#This Row],[Pontuação final]]&lt;=22,"Moderado", "Grave")))</f>
        <v>Moderado</v>
      </c>
    </row>
    <row r="15" spans="1:49" x14ac:dyDescent="0.3">
      <c r="A15">
        <v>15</v>
      </c>
      <c r="B15" t="s">
        <v>49</v>
      </c>
      <c r="C15" s="1">
        <v>19</v>
      </c>
      <c r="D15" s="1">
        <v>82</v>
      </c>
      <c r="E15" s="1">
        <v>1.75</v>
      </c>
      <c r="F15" t="s">
        <v>94</v>
      </c>
      <c r="G15" t="s">
        <v>51</v>
      </c>
      <c r="H15" t="s">
        <v>52</v>
      </c>
      <c r="I15" t="s">
        <v>53</v>
      </c>
      <c r="K15" t="s">
        <v>95</v>
      </c>
      <c r="L15" t="s">
        <v>55</v>
      </c>
      <c r="M15" t="s">
        <v>56</v>
      </c>
      <c r="O15" t="s">
        <v>65</v>
      </c>
      <c r="P15" t="s">
        <v>60</v>
      </c>
      <c r="Q15">
        <v>1</v>
      </c>
      <c r="R15" t="s">
        <v>58</v>
      </c>
      <c r="S15">
        <v>2</v>
      </c>
      <c r="T15" t="s">
        <v>58</v>
      </c>
      <c r="U15">
        <v>2</v>
      </c>
      <c r="V15" t="s">
        <v>58</v>
      </c>
      <c r="W15">
        <v>2</v>
      </c>
      <c r="X15" t="s">
        <v>60</v>
      </c>
      <c r="Y15">
        <v>1</v>
      </c>
      <c r="Z15" t="s">
        <v>60</v>
      </c>
      <c r="AA15">
        <v>1</v>
      </c>
      <c r="AB15" t="s">
        <v>58</v>
      </c>
      <c r="AC15">
        <v>2</v>
      </c>
      <c r="AD15" t="s">
        <v>58</v>
      </c>
      <c r="AE15">
        <v>2</v>
      </c>
      <c r="AF15" t="s">
        <v>60</v>
      </c>
      <c r="AG15">
        <v>1</v>
      </c>
      <c r="AH15" t="s">
        <v>58</v>
      </c>
      <c r="AI15">
        <v>2</v>
      </c>
      <c r="AJ15" t="s">
        <v>58</v>
      </c>
      <c r="AK15">
        <v>2</v>
      </c>
      <c r="AL15" t="s">
        <v>59</v>
      </c>
      <c r="AM15">
        <v>0</v>
      </c>
      <c r="AN15" t="s">
        <v>60</v>
      </c>
      <c r="AO15">
        <v>1</v>
      </c>
      <c r="AP15" t="s">
        <v>59</v>
      </c>
      <c r="AQ15">
        <v>0</v>
      </c>
      <c r="AR15" t="s">
        <v>60</v>
      </c>
      <c r="AS15">
        <v>1</v>
      </c>
      <c r="AT15" t="s">
        <v>60</v>
      </c>
      <c r="AU15">
        <v>1</v>
      </c>
      <c r="AV15">
        <f t="shared" si="0"/>
        <v>21</v>
      </c>
      <c r="AW15" t="str">
        <f>IF(Table1[[#This Row],[Pontuação final]]&lt;=2,"Nenhum", IF(Table1[[#This Row],[Pontuação final]]&lt;=12,"Leve", IF(Table1[[#This Row],[Pontuação final]]&lt;=22,"Moderado", "Grave")))</f>
        <v>Moderado</v>
      </c>
    </row>
    <row r="16" spans="1:49" x14ac:dyDescent="0.3">
      <c r="A16">
        <v>16</v>
      </c>
      <c r="B16" t="s">
        <v>49</v>
      </c>
      <c r="C16" s="1">
        <v>18</v>
      </c>
      <c r="D16" s="1">
        <v>89</v>
      </c>
      <c r="E16" s="1">
        <v>1.73</v>
      </c>
      <c r="F16" t="s">
        <v>61</v>
      </c>
      <c r="G16" t="s">
        <v>79</v>
      </c>
      <c r="H16" t="s">
        <v>52</v>
      </c>
      <c r="I16" t="s">
        <v>62</v>
      </c>
      <c r="K16" t="s">
        <v>96</v>
      </c>
      <c r="L16" t="s">
        <v>55</v>
      </c>
      <c r="M16" t="s">
        <v>75</v>
      </c>
      <c r="O16" t="s">
        <v>65</v>
      </c>
      <c r="P16" t="s">
        <v>58</v>
      </c>
      <c r="Q16">
        <v>2</v>
      </c>
      <c r="R16" t="s">
        <v>60</v>
      </c>
      <c r="S16">
        <v>1</v>
      </c>
      <c r="T16" t="s">
        <v>60</v>
      </c>
      <c r="U16">
        <v>1</v>
      </c>
      <c r="V16" t="s">
        <v>58</v>
      </c>
      <c r="W16">
        <v>2</v>
      </c>
      <c r="X16" t="s">
        <v>60</v>
      </c>
      <c r="Y16">
        <v>1</v>
      </c>
      <c r="Z16" t="s">
        <v>60</v>
      </c>
      <c r="AA16">
        <v>1</v>
      </c>
      <c r="AB16" t="s">
        <v>60</v>
      </c>
      <c r="AC16">
        <v>1</v>
      </c>
      <c r="AD16" t="s">
        <v>58</v>
      </c>
      <c r="AE16">
        <v>2</v>
      </c>
      <c r="AF16" t="s">
        <v>60</v>
      </c>
      <c r="AG16">
        <v>1</v>
      </c>
      <c r="AH16" t="s">
        <v>59</v>
      </c>
      <c r="AI16">
        <v>0</v>
      </c>
      <c r="AJ16" t="s">
        <v>60</v>
      </c>
      <c r="AK16">
        <v>1</v>
      </c>
      <c r="AL16" t="s">
        <v>58</v>
      </c>
      <c r="AM16">
        <v>2</v>
      </c>
      <c r="AN16" t="s">
        <v>60</v>
      </c>
      <c r="AO16">
        <v>1</v>
      </c>
      <c r="AP16" t="s">
        <v>60</v>
      </c>
      <c r="AQ16">
        <v>1</v>
      </c>
      <c r="AR16" t="s">
        <v>59</v>
      </c>
      <c r="AS16">
        <v>0</v>
      </c>
      <c r="AT16" t="s">
        <v>58</v>
      </c>
      <c r="AU16">
        <v>2</v>
      </c>
      <c r="AV16">
        <f t="shared" si="0"/>
        <v>19</v>
      </c>
      <c r="AW16" t="str">
        <f>IF(Table1[[#This Row],[Pontuação final]]&lt;=2,"Nenhum", IF(Table1[[#This Row],[Pontuação final]]&lt;=12,"Leve", IF(Table1[[#This Row],[Pontuação final]]&lt;=22,"Moderado", "Grave")))</f>
        <v>Moderado</v>
      </c>
    </row>
    <row r="17" spans="1:49" x14ac:dyDescent="0.3">
      <c r="A17">
        <v>17</v>
      </c>
      <c r="B17" t="s">
        <v>49</v>
      </c>
      <c r="C17" s="1">
        <v>19</v>
      </c>
      <c r="D17" s="1">
        <v>92</v>
      </c>
      <c r="E17">
        <v>1.8</v>
      </c>
      <c r="F17" t="s">
        <v>76</v>
      </c>
      <c r="G17" t="s">
        <v>51</v>
      </c>
      <c r="H17" t="s">
        <v>52</v>
      </c>
      <c r="I17" t="s">
        <v>97</v>
      </c>
      <c r="K17" t="s">
        <v>98</v>
      </c>
      <c r="L17" t="s">
        <v>99</v>
      </c>
      <c r="M17" t="s">
        <v>64</v>
      </c>
      <c r="O17" t="s">
        <v>65</v>
      </c>
      <c r="P17" t="s">
        <v>60</v>
      </c>
      <c r="Q17">
        <v>1</v>
      </c>
      <c r="R17" t="s">
        <v>60</v>
      </c>
      <c r="S17">
        <v>1</v>
      </c>
      <c r="T17" t="s">
        <v>59</v>
      </c>
      <c r="U17">
        <v>0</v>
      </c>
      <c r="V17" t="s">
        <v>60</v>
      </c>
      <c r="W17">
        <v>1</v>
      </c>
      <c r="X17" t="s">
        <v>59</v>
      </c>
      <c r="Y17">
        <v>0</v>
      </c>
      <c r="Z17" t="s">
        <v>59</v>
      </c>
      <c r="AA17">
        <v>0</v>
      </c>
      <c r="AB17" t="s">
        <v>60</v>
      </c>
      <c r="AC17">
        <v>1</v>
      </c>
      <c r="AD17" t="s">
        <v>59</v>
      </c>
      <c r="AE17">
        <v>0</v>
      </c>
      <c r="AF17" t="s">
        <v>59</v>
      </c>
      <c r="AG17">
        <v>0</v>
      </c>
      <c r="AH17" t="s">
        <v>59</v>
      </c>
      <c r="AI17">
        <v>0</v>
      </c>
      <c r="AJ17" t="s">
        <v>59</v>
      </c>
      <c r="AK17">
        <v>0</v>
      </c>
      <c r="AL17" t="s">
        <v>60</v>
      </c>
      <c r="AM17">
        <v>1</v>
      </c>
      <c r="AN17" t="s">
        <v>60</v>
      </c>
      <c r="AO17">
        <v>1</v>
      </c>
      <c r="AP17" t="s">
        <v>59</v>
      </c>
      <c r="AQ17">
        <v>0</v>
      </c>
      <c r="AR17" t="s">
        <v>59</v>
      </c>
      <c r="AS17">
        <v>0</v>
      </c>
      <c r="AT17" t="s">
        <v>60</v>
      </c>
      <c r="AU17">
        <v>1</v>
      </c>
      <c r="AV17">
        <f t="shared" si="0"/>
        <v>7</v>
      </c>
      <c r="AW17" t="str">
        <f>IF(Table1[[#This Row],[Pontuação final]]&lt;=2,"Nenhum", IF(Table1[[#This Row],[Pontuação final]]&lt;=12,"Leve", IF(Table1[[#This Row],[Pontuação final]]&lt;=22,"Moderado", "Grave")))</f>
        <v>Leve</v>
      </c>
    </row>
    <row r="18" spans="1:49" x14ac:dyDescent="0.3">
      <c r="A18">
        <v>18</v>
      </c>
      <c r="B18" t="s">
        <v>49</v>
      </c>
      <c r="C18" s="1">
        <v>24</v>
      </c>
      <c r="D18" s="1">
        <v>105</v>
      </c>
      <c r="E18" s="1">
        <v>1.66</v>
      </c>
      <c r="F18" t="s">
        <v>61</v>
      </c>
      <c r="G18" t="s">
        <v>90</v>
      </c>
      <c r="H18" t="s">
        <v>52</v>
      </c>
      <c r="I18" t="s">
        <v>80</v>
      </c>
      <c r="K18" t="s">
        <v>100</v>
      </c>
      <c r="L18" t="s">
        <v>55</v>
      </c>
      <c r="M18" t="s">
        <v>64</v>
      </c>
      <c r="O18" t="s">
        <v>82</v>
      </c>
      <c r="P18" t="s">
        <v>58</v>
      </c>
      <c r="Q18">
        <v>2</v>
      </c>
      <c r="R18" t="s">
        <v>59</v>
      </c>
      <c r="S18">
        <v>0</v>
      </c>
      <c r="T18" t="s">
        <v>58</v>
      </c>
      <c r="U18">
        <v>2</v>
      </c>
      <c r="V18" t="s">
        <v>58</v>
      </c>
      <c r="W18">
        <v>2</v>
      </c>
      <c r="X18" t="s">
        <v>60</v>
      </c>
      <c r="Y18">
        <v>1</v>
      </c>
      <c r="Z18" t="s">
        <v>60</v>
      </c>
      <c r="AA18">
        <v>1</v>
      </c>
      <c r="AB18" t="s">
        <v>60</v>
      </c>
      <c r="AC18">
        <v>1</v>
      </c>
      <c r="AD18" t="s">
        <v>60</v>
      </c>
      <c r="AE18">
        <v>1</v>
      </c>
      <c r="AF18" t="s">
        <v>60</v>
      </c>
      <c r="AG18">
        <v>1</v>
      </c>
      <c r="AH18" t="s">
        <v>58</v>
      </c>
      <c r="AI18">
        <v>2</v>
      </c>
      <c r="AJ18" t="s">
        <v>58</v>
      </c>
      <c r="AK18">
        <v>2</v>
      </c>
      <c r="AL18" t="s">
        <v>58</v>
      </c>
      <c r="AM18">
        <v>2</v>
      </c>
      <c r="AN18" t="s">
        <v>58</v>
      </c>
      <c r="AO18">
        <v>2</v>
      </c>
      <c r="AP18" t="s">
        <v>60</v>
      </c>
      <c r="AQ18">
        <v>1</v>
      </c>
      <c r="AR18" t="s">
        <v>58</v>
      </c>
      <c r="AS18">
        <v>2</v>
      </c>
      <c r="AT18" t="s">
        <v>60</v>
      </c>
      <c r="AU18">
        <v>1</v>
      </c>
      <c r="AV18">
        <f t="shared" si="0"/>
        <v>23</v>
      </c>
      <c r="AW18" t="str">
        <f>IF(Table1[[#This Row],[Pontuação final]]&lt;=2,"Nenhum", IF(Table1[[#This Row],[Pontuação final]]&lt;=12,"Leve", IF(Table1[[#This Row],[Pontuação final]]&lt;=22,"Moderado", "Grave")))</f>
        <v>Grave</v>
      </c>
    </row>
    <row r="19" spans="1:49" x14ac:dyDescent="0.3">
      <c r="A19">
        <v>19</v>
      </c>
      <c r="B19" t="s">
        <v>49</v>
      </c>
      <c r="C19" s="1">
        <v>21</v>
      </c>
      <c r="D19" s="1">
        <v>64</v>
      </c>
      <c r="E19">
        <v>1.7</v>
      </c>
      <c r="F19" t="s">
        <v>61</v>
      </c>
      <c r="G19" t="s">
        <v>51</v>
      </c>
      <c r="H19" t="s">
        <v>68</v>
      </c>
      <c r="I19" t="s">
        <v>80</v>
      </c>
      <c r="K19" t="s">
        <v>101</v>
      </c>
      <c r="L19" t="s">
        <v>55</v>
      </c>
      <c r="M19" t="s">
        <v>56</v>
      </c>
      <c r="O19" t="s">
        <v>82</v>
      </c>
      <c r="P19" t="s">
        <v>60</v>
      </c>
      <c r="Q19">
        <v>1</v>
      </c>
      <c r="R19" t="s">
        <v>59</v>
      </c>
      <c r="S19">
        <v>0</v>
      </c>
      <c r="T19" t="s">
        <v>60</v>
      </c>
      <c r="U19">
        <v>1</v>
      </c>
      <c r="V19" t="s">
        <v>60</v>
      </c>
      <c r="W19">
        <v>1</v>
      </c>
      <c r="X19" t="s">
        <v>59</v>
      </c>
      <c r="Y19">
        <v>0</v>
      </c>
      <c r="Z19" t="s">
        <v>59</v>
      </c>
      <c r="AA19">
        <v>0</v>
      </c>
      <c r="AB19" t="s">
        <v>60</v>
      </c>
      <c r="AC19">
        <v>1</v>
      </c>
      <c r="AD19" t="s">
        <v>60</v>
      </c>
      <c r="AE19">
        <v>1</v>
      </c>
      <c r="AF19" t="s">
        <v>60</v>
      </c>
      <c r="AG19">
        <v>1</v>
      </c>
      <c r="AH19" t="s">
        <v>58</v>
      </c>
      <c r="AI19">
        <v>2</v>
      </c>
      <c r="AJ19" t="s">
        <v>58</v>
      </c>
      <c r="AK19">
        <v>2</v>
      </c>
      <c r="AL19" t="s">
        <v>58</v>
      </c>
      <c r="AM19">
        <v>2</v>
      </c>
      <c r="AN19" t="s">
        <v>59</v>
      </c>
      <c r="AO19">
        <v>0</v>
      </c>
      <c r="AP19" t="s">
        <v>59</v>
      </c>
      <c r="AQ19">
        <v>0</v>
      </c>
      <c r="AR19" t="s">
        <v>59</v>
      </c>
      <c r="AS19">
        <v>0</v>
      </c>
      <c r="AT19" t="s">
        <v>58</v>
      </c>
      <c r="AU19">
        <v>2</v>
      </c>
      <c r="AV19">
        <f t="shared" si="0"/>
        <v>14</v>
      </c>
      <c r="AW19" t="str">
        <f>IF(Table1[[#This Row],[Pontuação final]]&lt;=2,"Nenhum", IF(Table1[[#This Row],[Pontuação final]]&lt;=12,"Leve", IF(Table1[[#This Row],[Pontuação final]]&lt;=22,"Moderado", "Grave")))</f>
        <v>Moderado</v>
      </c>
    </row>
    <row r="20" spans="1:49" x14ac:dyDescent="0.3">
      <c r="A20">
        <v>20</v>
      </c>
      <c r="B20" t="s">
        <v>66</v>
      </c>
      <c r="C20" s="1">
        <v>22</v>
      </c>
      <c r="D20" s="1">
        <v>58</v>
      </c>
      <c r="E20">
        <v>1.69</v>
      </c>
      <c r="F20" t="s">
        <v>50</v>
      </c>
      <c r="G20" t="s">
        <v>102</v>
      </c>
      <c r="H20" t="s">
        <v>68</v>
      </c>
      <c r="I20" t="s">
        <v>72</v>
      </c>
      <c r="K20" t="s">
        <v>103</v>
      </c>
      <c r="L20" t="s">
        <v>55</v>
      </c>
      <c r="M20" t="s">
        <v>64</v>
      </c>
      <c r="O20" t="s">
        <v>65</v>
      </c>
      <c r="P20" t="s">
        <v>58</v>
      </c>
      <c r="Q20">
        <v>2</v>
      </c>
      <c r="R20" t="s">
        <v>58</v>
      </c>
      <c r="S20">
        <v>2</v>
      </c>
      <c r="T20" t="s">
        <v>58</v>
      </c>
      <c r="U20">
        <v>2</v>
      </c>
      <c r="V20" t="s">
        <v>60</v>
      </c>
      <c r="W20">
        <v>1</v>
      </c>
      <c r="X20" t="s">
        <v>58</v>
      </c>
      <c r="Y20">
        <v>2</v>
      </c>
      <c r="Z20" t="s">
        <v>58</v>
      </c>
      <c r="AA20">
        <v>2</v>
      </c>
      <c r="AB20" t="s">
        <v>58</v>
      </c>
      <c r="AC20">
        <v>2</v>
      </c>
      <c r="AD20" t="s">
        <v>58</v>
      </c>
      <c r="AE20">
        <v>2</v>
      </c>
      <c r="AF20" t="s">
        <v>58</v>
      </c>
      <c r="AG20">
        <v>2</v>
      </c>
      <c r="AH20" t="s">
        <v>60</v>
      </c>
      <c r="AI20">
        <v>1</v>
      </c>
      <c r="AJ20" t="s">
        <v>59</v>
      </c>
      <c r="AK20">
        <v>0</v>
      </c>
      <c r="AL20" t="s">
        <v>58</v>
      </c>
      <c r="AM20">
        <v>2</v>
      </c>
      <c r="AN20" t="s">
        <v>58</v>
      </c>
      <c r="AO20">
        <v>2</v>
      </c>
      <c r="AP20" t="s">
        <v>59</v>
      </c>
      <c r="AQ20">
        <v>0</v>
      </c>
      <c r="AR20" t="s">
        <v>59</v>
      </c>
      <c r="AS20">
        <v>0</v>
      </c>
      <c r="AT20" t="s">
        <v>58</v>
      </c>
      <c r="AU20">
        <v>2</v>
      </c>
      <c r="AV20">
        <f t="shared" si="0"/>
        <v>24</v>
      </c>
      <c r="AW20" t="str">
        <f>IF(Table1[[#This Row],[Pontuação final]]&lt;=2,"Nenhum", IF(Table1[[#This Row],[Pontuação final]]&lt;=12,"Leve", IF(Table1[[#This Row],[Pontuação final]]&lt;=22,"Moderado", "Grave")))</f>
        <v>Grave</v>
      </c>
    </row>
    <row r="21" spans="1:49" x14ac:dyDescent="0.3">
      <c r="A21">
        <v>21</v>
      </c>
      <c r="B21" t="s">
        <v>49</v>
      </c>
      <c r="C21" s="1">
        <v>18</v>
      </c>
      <c r="D21" s="1">
        <v>55</v>
      </c>
      <c r="E21">
        <v>1.79</v>
      </c>
      <c r="F21" t="s">
        <v>50</v>
      </c>
      <c r="G21" t="s">
        <v>79</v>
      </c>
      <c r="H21" t="s">
        <v>68</v>
      </c>
      <c r="I21" t="s">
        <v>62</v>
      </c>
      <c r="K21" t="s">
        <v>70</v>
      </c>
      <c r="L21" t="s">
        <v>55</v>
      </c>
      <c r="M21" t="s">
        <v>75</v>
      </c>
      <c r="O21" t="s">
        <v>57</v>
      </c>
      <c r="P21" t="s">
        <v>58</v>
      </c>
      <c r="Q21">
        <v>2</v>
      </c>
      <c r="R21" t="s">
        <v>59</v>
      </c>
      <c r="S21">
        <v>0</v>
      </c>
      <c r="T21" t="s">
        <v>59</v>
      </c>
      <c r="U21">
        <v>0</v>
      </c>
      <c r="V21" t="s">
        <v>60</v>
      </c>
      <c r="W21">
        <v>1</v>
      </c>
      <c r="X21" t="s">
        <v>59</v>
      </c>
      <c r="Y21">
        <v>0</v>
      </c>
      <c r="Z21" t="s">
        <v>59</v>
      </c>
      <c r="AA21">
        <v>0</v>
      </c>
      <c r="AB21" t="s">
        <v>59</v>
      </c>
      <c r="AC21">
        <v>0</v>
      </c>
      <c r="AD21" t="s">
        <v>59</v>
      </c>
      <c r="AE21">
        <v>0</v>
      </c>
      <c r="AF21" t="s">
        <v>60</v>
      </c>
      <c r="AG21">
        <v>1</v>
      </c>
      <c r="AH21" t="s">
        <v>60</v>
      </c>
      <c r="AI21">
        <v>1</v>
      </c>
      <c r="AJ21" t="s">
        <v>59</v>
      </c>
      <c r="AK21">
        <v>0</v>
      </c>
      <c r="AL21" t="s">
        <v>60</v>
      </c>
      <c r="AM21">
        <v>1</v>
      </c>
      <c r="AN21" t="s">
        <v>59</v>
      </c>
      <c r="AO21">
        <v>0</v>
      </c>
      <c r="AP21" t="s">
        <v>59</v>
      </c>
      <c r="AQ21">
        <v>0</v>
      </c>
      <c r="AR21" t="s">
        <v>59</v>
      </c>
      <c r="AS21">
        <v>0</v>
      </c>
      <c r="AT21" t="s">
        <v>60</v>
      </c>
      <c r="AU21">
        <v>1</v>
      </c>
      <c r="AV21">
        <f t="shared" si="0"/>
        <v>7</v>
      </c>
      <c r="AW21" t="str">
        <f>IF(Table1[[#This Row],[Pontuação final]]&lt;=2,"Nenhum", IF(Table1[[#This Row],[Pontuação final]]&lt;=12,"Leve", IF(Table1[[#This Row],[Pontuação final]]&lt;=22,"Moderado", "Grave")))</f>
        <v>Leve</v>
      </c>
    </row>
    <row r="22" spans="1:49" x14ac:dyDescent="0.3">
      <c r="A22">
        <v>22</v>
      </c>
      <c r="B22" t="s">
        <v>49</v>
      </c>
      <c r="C22" s="1">
        <v>22</v>
      </c>
      <c r="D22" s="1">
        <v>67</v>
      </c>
      <c r="E22" s="1">
        <v>1.75</v>
      </c>
      <c r="F22" t="s">
        <v>104</v>
      </c>
      <c r="G22" t="s">
        <v>105</v>
      </c>
      <c r="H22" t="s">
        <v>68</v>
      </c>
      <c r="I22" t="s">
        <v>106</v>
      </c>
      <c r="J22" t="s">
        <v>107</v>
      </c>
      <c r="K22" t="s">
        <v>108</v>
      </c>
      <c r="L22" t="s">
        <v>109</v>
      </c>
      <c r="M22" t="s">
        <v>56</v>
      </c>
      <c r="O22" t="s">
        <v>57</v>
      </c>
      <c r="P22" t="s">
        <v>58</v>
      </c>
      <c r="Q22">
        <v>2</v>
      </c>
      <c r="R22" t="s">
        <v>58</v>
      </c>
      <c r="S22">
        <v>2</v>
      </c>
      <c r="T22" t="s">
        <v>59</v>
      </c>
      <c r="U22">
        <v>0</v>
      </c>
      <c r="V22" t="s">
        <v>58</v>
      </c>
      <c r="W22">
        <v>2</v>
      </c>
      <c r="X22" t="s">
        <v>60</v>
      </c>
      <c r="Y22">
        <v>1</v>
      </c>
      <c r="Z22" t="s">
        <v>59</v>
      </c>
      <c r="AA22">
        <v>0</v>
      </c>
      <c r="AB22" t="s">
        <v>60</v>
      </c>
      <c r="AC22">
        <v>1</v>
      </c>
      <c r="AD22" t="s">
        <v>58</v>
      </c>
      <c r="AE22">
        <v>2</v>
      </c>
      <c r="AF22" t="s">
        <v>60</v>
      </c>
      <c r="AG22">
        <v>1</v>
      </c>
      <c r="AH22" t="s">
        <v>60</v>
      </c>
      <c r="AI22">
        <v>1</v>
      </c>
      <c r="AJ22" t="s">
        <v>60</v>
      </c>
      <c r="AK22">
        <v>1</v>
      </c>
      <c r="AL22" t="s">
        <v>58</v>
      </c>
      <c r="AM22">
        <v>2</v>
      </c>
      <c r="AN22" t="s">
        <v>58</v>
      </c>
      <c r="AO22">
        <v>2</v>
      </c>
      <c r="AP22" t="s">
        <v>58</v>
      </c>
      <c r="AQ22">
        <v>2</v>
      </c>
      <c r="AR22" t="s">
        <v>58</v>
      </c>
      <c r="AS22">
        <v>2</v>
      </c>
      <c r="AT22" t="s">
        <v>58</v>
      </c>
      <c r="AU22">
        <v>2</v>
      </c>
      <c r="AV22">
        <f t="shared" si="0"/>
        <v>23</v>
      </c>
      <c r="AW22" t="str">
        <f>IF(Table1[[#This Row],[Pontuação final]]&lt;=2,"Nenhum", IF(Table1[[#This Row],[Pontuação final]]&lt;=12,"Leve", IF(Table1[[#This Row],[Pontuação final]]&lt;=22,"Moderado", "Grave")))</f>
        <v>Grave</v>
      </c>
    </row>
    <row r="23" spans="1:49" x14ac:dyDescent="0.3">
      <c r="A23">
        <v>23</v>
      </c>
      <c r="B23" t="s">
        <v>49</v>
      </c>
      <c r="C23" s="1">
        <v>20</v>
      </c>
      <c r="D23" s="1">
        <v>86</v>
      </c>
      <c r="E23" s="1">
        <v>1.75</v>
      </c>
      <c r="F23" t="s">
        <v>61</v>
      </c>
      <c r="G23" t="s">
        <v>90</v>
      </c>
      <c r="H23" t="s">
        <v>52</v>
      </c>
      <c r="I23" t="s">
        <v>53</v>
      </c>
      <c r="K23" t="s">
        <v>74</v>
      </c>
      <c r="L23" t="s">
        <v>74</v>
      </c>
      <c r="M23" t="s">
        <v>64</v>
      </c>
      <c r="O23" t="s">
        <v>65</v>
      </c>
      <c r="P23" t="s">
        <v>58</v>
      </c>
      <c r="Q23">
        <v>2</v>
      </c>
      <c r="R23" t="s">
        <v>59</v>
      </c>
      <c r="S23">
        <v>0</v>
      </c>
      <c r="T23" t="s">
        <v>59</v>
      </c>
      <c r="U23">
        <v>0</v>
      </c>
      <c r="V23" t="s">
        <v>58</v>
      </c>
      <c r="W23">
        <v>2</v>
      </c>
      <c r="X23" t="s">
        <v>58</v>
      </c>
      <c r="Y23">
        <v>2</v>
      </c>
      <c r="Z23" t="s">
        <v>59</v>
      </c>
      <c r="AA23">
        <v>0</v>
      </c>
      <c r="AB23" t="s">
        <v>59</v>
      </c>
      <c r="AC23">
        <v>0</v>
      </c>
      <c r="AD23" t="s">
        <v>59</v>
      </c>
      <c r="AE23">
        <v>0</v>
      </c>
      <c r="AF23" t="s">
        <v>58</v>
      </c>
      <c r="AG23">
        <v>2</v>
      </c>
      <c r="AH23" t="s">
        <v>59</v>
      </c>
      <c r="AI23">
        <v>0</v>
      </c>
      <c r="AJ23" t="s">
        <v>59</v>
      </c>
      <c r="AK23">
        <v>0</v>
      </c>
      <c r="AL23" t="s">
        <v>58</v>
      </c>
      <c r="AM23">
        <v>2</v>
      </c>
      <c r="AN23" t="s">
        <v>60</v>
      </c>
      <c r="AO23">
        <v>1</v>
      </c>
      <c r="AP23" t="s">
        <v>59</v>
      </c>
      <c r="AQ23">
        <v>0</v>
      </c>
      <c r="AR23" t="s">
        <v>59</v>
      </c>
      <c r="AS23">
        <v>0</v>
      </c>
      <c r="AT23" t="s">
        <v>58</v>
      </c>
      <c r="AU23">
        <v>2</v>
      </c>
      <c r="AV23">
        <f t="shared" si="0"/>
        <v>13</v>
      </c>
      <c r="AW23" t="str">
        <f>IF(Table1[[#This Row],[Pontuação final]]&lt;=2,"Nenhum", IF(Table1[[#This Row],[Pontuação final]]&lt;=12,"Leve", IF(Table1[[#This Row],[Pontuação final]]&lt;=22,"Moderado", "Grave")))</f>
        <v>Moderado</v>
      </c>
    </row>
    <row r="24" spans="1:49" x14ac:dyDescent="0.3">
      <c r="A24">
        <v>24</v>
      </c>
      <c r="B24" t="s">
        <v>49</v>
      </c>
      <c r="C24" s="1">
        <v>24</v>
      </c>
      <c r="D24" s="1">
        <v>77</v>
      </c>
      <c r="E24" s="1">
        <v>1.78</v>
      </c>
      <c r="F24" t="s">
        <v>50</v>
      </c>
      <c r="G24" t="s">
        <v>67</v>
      </c>
      <c r="H24" t="s">
        <v>68</v>
      </c>
      <c r="I24" t="s">
        <v>97</v>
      </c>
      <c r="K24" t="s">
        <v>108</v>
      </c>
      <c r="L24" t="s">
        <v>109</v>
      </c>
      <c r="M24" t="s">
        <v>56</v>
      </c>
      <c r="O24" t="s">
        <v>57</v>
      </c>
      <c r="P24" t="s">
        <v>58</v>
      </c>
      <c r="Q24">
        <v>2</v>
      </c>
      <c r="R24" t="s">
        <v>58</v>
      </c>
      <c r="S24">
        <v>2</v>
      </c>
      <c r="T24" t="s">
        <v>58</v>
      </c>
      <c r="U24">
        <v>2</v>
      </c>
      <c r="V24" t="s">
        <v>58</v>
      </c>
      <c r="W24">
        <v>2</v>
      </c>
      <c r="X24" t="s">
        <v>60</v>
      </c>
      <c r="Y24">
        <v>1</v>
      </c>
      <c r="Z24" t="s">
        <v>60</v>
      </c>
      <c r="AA24">
        <v>1</v>
      </c>
      <c r="AB24" t="s">
        <v>60</v>
      </c>
      <c r="AC24">
        <v>1</v>
      </c>
      <c r="AD24" t="s">
        <v>58</v>
      </c>
      <c r="AE24">
        <v>2</v>
      </c>
      <c r="AF24" t="s">
        <v>60</v>
      </c>
      <c r="AG24">
        <v>1</v>
      </c>
      <c r="AH24" t="s">
        <v>58</v>
      </c>
      <c r="AI24">
        <v>2</v>
      </c>
      <c r="AJ24" t="s">
        <v>58</v>
      </c>
      <c r="AK24">
        <v>2</v>
      </c>
      <c r="AL24" t="s">
        <v>58</v>
      </c>
      <c r="AM24">
        <v>2</v>
      </c>
      <c r="AN24" t="s">
        <v>58</v>
      </c>
      <c r="AO24">
        <v>2</v>
      </c>
      <c r="AP24" t="s">
        <v>60</v>
      </c>
      <c r="AQ24">
        <v>1</v>
      </c>
      <c r="AR24" t="s">
        <v>60</v>
      </c>
      <c r="AS24">
        <v>1</v>
      </c>
      <c r="AT24" t="s">
        <v>58</v>
      </c>
      <c r="AU24">
        <v>2</v>
      </c>
      <c r="AV24">
        <f t="shared" si="0"/>
        <v>26</v>
      </c>
      <c r="AW24" t="str">
        <f>IF(Table1[[#This Row],[Pontuação final]]&lt;=2,"Nenhum", IF(Table1[[#This Row],[Pontuação final]]&lt;=12,"Leve", IF(Table1[[#This Row],[Pontuação final]]&lt;=22,"Moderado", "Grave")))</f>
        <v>Grave</v>
      </c>
    </row>
    <row r="25" spans="1:49" x14ac:dyDescent="0.3">
      <c r="A25">
        <v>25</v>
      </c>
      <c r="B25" t="s">
        <v>49</v>
      </c>
      <c r="C25" s="1">
        <v>17</v>
      </c>
      <c r="D25" s="1">
        <v>57</v>
      </c>
      <c r="E25" s="1">
        <v>1.65</v>
      </c>
      <c r="F25" t="s">
        <v>50</v>
      </c>
      <c r="G25" t="s">
        <v>79</v>
      </c>
      <c r="H25" t="s">
        <v>52</v>
      </c>
      <c r="I25" t="s">
        <v>62</v>
      </c>
      <c r="K25" t="s">
        <v>110</v>
      </c>
      <c r="L25" t="s">
        <v>74</v>
      </c>
      <c r="M25" t="s">
        <v>75</v>
      </c>
      <c r="O25" t="s">
        <v>57</v>
      </c>
      <c r="P25" t="s">
        <v>58</v>
      </c>
      <c r="Q25">
        <v>2</v>
      </c>
      <c r="R25" t="s">
        <v>58</v>
      </c>
      <c r="S25">
        <v>2</v>
      </c>
      <c r="T25" t="s">
        <v>58</v>
      </c>
      <c r="U25">
        <v>2</v>
      </c>
      <c r="V25" t="s">
        <v>58</v>
      </c>
      <c r="W25">
        <v>2</v>
      </c>
      <c r="X25" t="s">
        <v>60</v>
      </c>
      <c r="Y25">
        <v>1</v>
      </c>
      <c r="Z25" t="s">
        <v>59</v>
      </c>
      <c r="AA25">
        <v>0</v>
      </c>
      <c r="AB25" t="s">
        <v>59</v>
      </c>
      <c r="AC25">
        <v>0</v>
      </c>
      <c r="AD25" t="s">
        <v>60</v>
      </c>
      <c r="AE25">
        <v>1</v>
      </c>
      <c r="AF25" t="s">
        <v>60</v>
      </c>
      <c r="AG25">
        <v>1</v>
      </c>
      <c r="AH25" t="s">
        <v>59</v>
      </c>
      <c r="AI25">
        <v>0</v>
      </c>
      <c r="AJ25" t="s">
        <v>59</v>
      </c>
      <c r="AK25">
        <v>0</v>
      </c>
      <c r="AL25" t="s">
        <v>58</v>
      </c>
      <c r="AM25">
        <v>2</v>
      </c>
      <c r="AN25" t="s">
        <v>60</v>
      </c>
      <c r="AO25">
        <v>1</v>
      </c>
      <c r="AP25" t="s">
        <v>59</v>
      </c>
      <c r="AQ25">
        <v>0</v>
      </c>
      <c r="AR25" t="s">
        <v>60</v>
      </c>
      <c r="AS25">
        <v>1</v>
      </c>
      <c r="AT25" t="s">
        <v>58</v>
      </c>
      <c r="AU25">
        <v>2</v>
      </c>
      <c r="AV25">
        <f t="shared" si="0"/>
        <v>17</v>
      </c>
      <c r="AW25" t="str">
        <f>IF(Table1[[#This Row],[Pontuação final]]&lt;=2,"Nenhum", IF(Table1[[#This Row],[Pontuação final]]&lt;=12,"Leve", IF(Table1[[#This Row],[Pontuação final]]&lt;=22,"Moderado", "Grave")))</f>
        <v>Moderado</v>
      </c>
    </row>
    <row r="26" spans="1:49" x14ac:dyDescent="0.3">
      <c r="A26">
        <v>26</v>
      </c>
      <c r="B26" t="s">
        <v>49</v>
      </c>
      <c r="C26" s="1">
        <v>20</v>
      </c>
      <c r="D26" s="1">
        <v>64</v>
      </c>
      <c r="E26" s="1">
        <v>1.69</v>
      </c>
      <c r="F26" t="s">
        <v>61</v>
      </c>
      <c r="G26" t="s">
        <v>77</v>
      </c>
      <c r="H26" t="s">
        <v>52</v>
      </c>
      <c r="I26" t="s">
        <v>97</v>
      </c>
      <c r="K26" t="s">
        <v>63</v>
      </c>
      <c r="L26" t="s">
        <v>55</v>
      </c>
      <c r="M26" t="s">
        <v>56</v>
      </c>
      <c r="O26" t="s">
        <v>57</v>
      </c>
      <c r="P26" t="s">
        <v>58</v>
      </c>
      <c r="Q26">
        <v>2</v>
      </c>
      <c r="R26" t="s">
        <v>58</v>
      </c>
      <c r="S26">
        <v>2</v>
      </c>
      <c r="T26" t="s">
        <v>59</v>
      </c>
      <c r="U26">
        <v>0</v>
      </c>
      <c r="V26" t="s">
        <v>58</v>
      </c>
      <c r="W26">
        <v>2</v>
      </c>
      <c r="X26" t="s">
        <v>60</v>
      </c>
      <c r="Y26">
        <v>1</v>
      </c>
      <c r="Z26" t="s">
        <v>60</v>
      </c>
      <c r="AA26">
        <v>1</v>
      </c>
      <c r="AB26" t="s">
        <v>60</v>
      </c>
      <c r="AC26">
        <v>1</v>
      </c>
      <c r="AD26" t="s">
        <v>59</v>
      </c>
      <c r="AE26">
        <v>0</v>
      </c>
      <c r="AF26" t="s">
        <v>60</v>
      </c>
      <c r="AG26">
        <v>1</v>
      </c>
      <c r="AH26" t="s">
        <v>60</v>
      </c>
      <c r="AI26">
        <v>1</v>
      </c>
      <c r="AJ26" t="s">
        <v>59</v>
      </c>
      <c r="AK26">
        <v>0</v>
      </c>
      <c r="AL26" t="s">
        <v>58</v>
      </c>
      <c r="AM26">
        <v>2</v>
      </c>
      <c r="AN26" t="s">
        <v>60</v>
      </c>
      <c r="AO26">
        <v>1</v>
      </c>
      <c r="AP26" t="s">
        <v>59</v>
      </c>
      <c r="AQ26">
        <v>0</v>
      </c>
      <c r="AR26" t="s">
        <v>59</v>
      </c>
      <c r="AS26">
        <v>0</v>
      </c>
      <c r="AT26" t="s">
        <v>58</v>
      </c>
      <c r="AU26">
        <v>2</v>
      </c>
      <c r="AV26">
        <f t="shared" si="0"/>
        <v>16</v>
      </c>
      <c r="AW26" t="str">
        <f>IF(Table1[[#This Row],[Pontuação final]]&lt;=2,"Nenhum", IF(Table1[[#This Row],[Pontuação final]]&lt;=12,"Leve", IF(Table1[[#This Row],[Pontuação final]]&lt;=22,"Moderado", "Grave")))</f>
        <v>Moderado</v>
      </c>
    </row>
    <row r="27" spans="1:49" x14ac:dyDescent="0.3">
      <c r="A27">
        <v>27</v>
      </c>
      <c r="B27" t="s">
        <v>49</v>
      </c>
      <c r="C27" s="1">
        <v>19</v>
      </c>
      <c r="D27" s="1">
        <v>68</v>
      </c>
      <c r="E27" s="1">
        <v>1.75</v>
      </c>
      <c r="F27" t="s">
        <v>50</v>
      </c>
      <c r="G27" t="s">
        <v>83</v>
      </c>
      <c r="H27" t="s">
        <v>52</v>
      </c>
      <c r="I27" t="s">
        <v>97</v>
      </c>
      <c r="K27" t="s">
        <v>63</v>
      </c>
      <c r="L27" t="s">
        <v>55</v>
      </c>
      <c r="M27" t="s">
        <v>64</v>
      </c>
      <c r="O27" t="s">
        <v>65</v>
      </c>
      <c r="P27" t="s">
        <v>58</v>
      </c>
      <c r="Q27">
        <v>2</v>
      </c>
      <c r="R27" t="s">
        <v>58</v>
      </c>
      <c r="S27">
        <v>2</v>
      </c>
      <c r="T27" t="s">
        <v>58</v>
      </c>
      <c r="U27">
        <v>2</v>
      </c>
      <c r="V27" t="s">
        <v>58</v>
      </c>
      <c r="W27">
        <v>2</v>
      </c>
      <c r="X27" t="s">
        <v>59</v>
      </c>
      <c r="Y27">
        <v>0</v>
      </c>
      <c r="Z27" t="s">
        <v>59</v>
      </c>
      <c r="AA27">
        <v>0</v>
      </c>
      <c r="AB27" t="s">
        <v>59</v>
      </c>
      <c r="AC27">
        <v>0</v>
      </c>
      <c r="AD27" t="s">
        <v>59</v>
      </c>
      <c r="AE27">
        <v>0</v>
      </c>
      <c r="AF27" t="s">
        <v>60</v>
      </c>
      <c r="AG27">
        <v>1</v>
      </c>
      <c r="AH27" t="s">
        <v>60</v>
      </c>
      <c r="AI27">
        <v>1</v>
      </c>
      <c r="AJ27" t="s">
        <v>59</v>
      </c>
      <c r="AK27">
        <v>0</v>
      </c>
      <c r="AL27" t="s">
        <v>58</v>
      </c>
      <c r="AM27">
        <v>2</v>
      </c>
      <c r="AN27" t="s">
        <v>60</v>
      </c>
      <c r="AO27">
        <v>1</v>
      </c>
      <c r="AP27" t="s">
        <v>59</v>
      </c>
      <c r="AQ27">
        <v>0</v>
      </c>
      <c r="AR27" t="s">
        <v>59</v>
      </c>
      <c r="AS27">
        <v>0</v>
      </c>
      <c r="AT27" t="s">
        <v>58</v>
      </c>
      <c r="AU27">
        <v>2</v>
      </c>
      <c r="AV27">
        <f t="shared" si="0"/>
        <v>15</v>
      </c>
      <c r="AW27" t="str">
        <f>IF(Table1[[#This Row],[Pontuação final]]&lt;=2,"Nenhum", IF(Table1[[#This Row],[Pontuação final]]&lt;=12,"Leve", IF(Table1[[#This Row],[Pontuação final]]&lt;=22,"Moderado", "Grave")))</f>
        <v>Moderado</v>
      </c>
    </row>
    <row r="28" spans="1:49" x14ac:dyDescent="0.3">
      <c r="A28">
        <v>28</v>
      </c>
      <c r="B28" t="s">
        <v>49</v>
      </c>
      <c r="C28" s="1">
        <v>19</v>
      </c>
      <c r="D28" s="1">
        <v>83</v>
      </c>
      <c r="E28">
        <v>1.81</v>
      </c>
      <c r="F28" t="s">
        <v>111</v>
      </c>
      <c r="G28" t="s">
        <v>83</v>
      </c>
      <c r="H28" t="s">
        <v>68</v>
      </c>
      <c r="I28" t="s">
        <v>62</v>
      </c>
      <c r="J28" t="s">
        <v>112</v>
      </c>
      <c r="K28" t="s">
        <v>113</v>
      </c>
      <c r="L28" t="s">
        <v>55</v>
      </c>
      <c r="M28" t="s">
        <v>92</v>
      </c>
      <c r="N28" t="s">
        <v>114</v>
      </c>
      <c r="O28" t="s">
        <v>57</v>
      </c>
      <c r="P28" t="s">
        <v>60</v>
      </c>
      <c r="Q28">
        <v>1</v>
      </c>
      <c r="R28" t="s">
        <v>59</v>
      </c>
      <c r="S28">
        <v>0</v>
      </c>
      <c r="T28" t="s">
        <v>58</v>
      </c>
      <c r="U28">
        <v>2</v>
      </c>
      <c r="V28" t="s">
        <v>58</v>
      </c>
      <c r="W28">
        <v>2</v>
      </c>
      <c r="X28" t="s">
        <v>60</v>
      </c>
      <c r="Y28">
        <v>1</v>
      </c>
      <c r="Z28" t="s">
        <v>59</v>
      </c>
      <c r="AA28">
        <v>0</v>
      </c>
      <c r="AB28" t="s">
        <v>60</v>
      </c>
      <c r="AC28">
        <v>1</v>
      </c>
      <c r="AD28" t="s">
        <v>58</v>
      </c>
      <c r="AE28">
        <v>2</v>
      </c>
      <c r="AF28" t="s">
        <v>58</v>
      </c>
      <c r="AG28">
        <v>2</v>
      </c>
      <c r="AH28" t="s">
        <v>58</v>
      </c>
      <c r="AI28">
        <v>2</v>
      </c>
      <c r="AJ28" t="s">
        <v>58</v>
      </c>
      <c r="AK28">
        <v>2</v>
      </c>
      <c r="AL28" t="s">
        <v>58</v>
      </c>
      <c r="AM28">
        <v>2</v>
      </c>
      <c r="AN28" t="s">
        <v>59</v>
      </c>
      <c r="AO28">
        <v>0</v>
      </c>
      <c r="AP28" t="s">
        <v>60</v>
      </c>
      <c r="AQ28">
        <v>1</v>
      </c>
      <c r="AR28" t="s">
        <v>59</v>
      </c>
      <c r="AS28">
        <v>0</v>
      </c>
      <c r="AT28" t="s">
        <v>58</v>
      </c>
      <c r="AU28">
        <v>2</v>
      </c>
      <c r="AV28">
        <f t="shared" si="0"/>
        <v>20</v>
      </c>
      <c r="AW28" t="str">
        <f>IF(Table1[[#This Row],[Pontuação final]]&lt;=2,"Nenhum", IF(Table1[[#This Row],[Pontuação final]]&lt;=12,"Leve", IF(Table1[[#This Row],[Pontuação final]]&lt;=22,"Moderado", "Grave")))</f>
        <v>Moderado</v>
      </c>
    </row>
    <row r="29" spans="1:49" x14ac:dyDescent="0.3">
      <c r="A29">
        <v>29</v>
      </c>
      <c r="B29" t="s">
        <v>66</v>
      </c>
      <c r="C29" s="1">
        <v>30</v>
      </c>
      <c r="D29" s="1">
        <v>63</v>
      </c>
      <c r="E29" s="1">
        <v>1.57</v>
      </c>
      <c r="F29" t="s">
        <v>111</v>
      </c>
      <c r="G29" t="s">
        <v>105</v>
      </c>
      <c r="H29" t="s">
        <v>68</v>
      </c>
      <c r="I29" t="s">
        <v>53</v>
      </c>
      <c r="K29" t="s">
        <v>70</v>
      </c>
      <c r="L29" t="s">
        <v>55</v>
      </c>
      <c r="M29" t="s">
        <v>92</v>
      </c>
      <c r="N29" t="s">
        <v>115</v>
      </c>
      <c r="O29" t="s">
        <v>82</v>
      </c>
      <c r="P29" t="s">
        <v>58</v>
      </c>
      <c r="Q29">
        <v>2</v>
      </c>
      <c r="R29" t="s">
        <v>59</v>
      </c>
      <c r="S29">
        <v>0</v>
      </c>
      <c r="T29" t="s">
        <v>58</v>
      </c>
      <c r="U29">
        <v>2</v>
      </c>
      <c r="V29" t="s">
        <v>58</v>
      </c>
      <c r="W29">
        <v>2</v>
      </c>
      <c r="X29" t="s">
        <v>60</v>
      </c>
      <c r="Y29">
        <v>1</v>
      </c>
      <c r="Z29" t="s">
        <v>60</v>
      </c>
      <c r="AA29">
        <v>1</v>
      </c>
      <c r="AB29" t="s">
        <v>59</v>
      </c>
      <c r="AC29">
        <v>0</v>
      </c>
      <c r="AD29" t="s">
        <v>58</v>
      </c>
      <c r="AE29">
        <v>2</v>
      </c>
      <c r="AF29" t="s">
        <v>58</v>
      </c>
      <c r="AG29">
        <v>2</v>
      </c>
      <c r="AH29" t="s">
        <v>58</v>
      </c>
      <c r="AI29">
        <v>2</v>
      </c>
      <c r="AJ29" t="s">
        <v>58</v>
      </c>
      <c r="AK29">
        <v>2</v>
      </c>
      <c r="AL29" t="s">
        <v>58</v>
      </c>
      <c r="AM29">
        <v>2</v>
      </c>
      <c r="AN29" t="s">
        <v>60</v>
      </c>
      <c r="AO29">
        <v>1</v>
      </c>
      <c r="AP29" t="s">
        <v>60</v>
      </c>
      <c r="AQ29">
        <v>1</v>
      </c>
      <c r="AR29" t="s">
        <v>59</v>
      </c>
      <c r="AS29">
        <v>0</v>
      </c>
      <c r="AT29" t="s">
        <v>58</v>
      </c>
      <c r="AU29">
        <v>2</v>
      </c>
      <c r="AV29">
        <f t="shared" si="0"/>
        <v>22</v>
      </c>
      <c r="AW29" t="str">
        <f>IF(Table1[[#This Row],[Pontuação final]]&lt;=2,"Nenhum", IF(Table1[[#This Row],[Pontuação final]]&lt;=12,"Leve", IF(Table1[[#This Row],[Pontuação final]]&lt;=22,"Moderado", "Grave")))</f>
        <v>Moderado</v>
      </c>
    </row>
    <row r="30" spans="1:49" x14ac:dyDescent="0.3">
      <c r="A30">
        <v>30</v>
      </c>
      <c r="B30" t="s">
        <v>49</v>
      </c>
      <c r="C30" s="1">
        <v>20</v>
      </c>
      <c r="D30">
        <v>69</v>
      </c>
      <c r="E30" s="1">
        <v>1.75</v>
      </c>
      <c r="F30" t="s">
        <v>61</v>
      </c>
      <c r="G30" t="s">
        <v>85</v>
      </c>
      <c r="H30" t="s">
        <v>68</v>
      </c>
      <c r="I30" t="s">
        <v>80</v>
      </c>
      <c r="K30" t="s">
        <v>63</v>
      </c>
      <c r="L30" t="s">
        <v>55</v>
      </c>
      <c r="M30" t="s">
        <v>75</v>
      </c>
      <c r="O30" t="s">
        <v>65</v>
      </c>
      <c r="P30" t="s">
        <v>60</v>
      </c>
      <c r="Q30">
        <v>1</v>
      </c>
      <c r="R30" t="s">
        <v>59</v>
      </c>
      <c r="S30">
        <v>0</v>
      </c>
      <c r="T30" t="s">
        <v>60</v>
      </c>
      <c r="U30">
        <v>1</v>
      </c>
      <c r="V30" t="s">
        <v>58</v>
      </c>
      <c r="W30">
        <v>2</v>
      </c>
      <c r="X30" t="s">
        <v>59</v>
      </c>
      <c r="Y30">
        <v>0</v>
      </c>
      <c r="Z30" t="s">
        <v>59</v>
      </c>
      <c r="AA30">
        <v>0</v>
      </c>
      <c r="AB30" t="s">
        <v>59</v>
      </c>
      <c r="AC30">
        <v>0</v>
      </c>
      <c r="AD30" t="s">
        <v>60</v>
      </c>
      <c r="AE30">
        <v>1</v>
      </c>
      <c r="AF30" t="s">
        <v>60</v>
      </c>
      <c r="AG30">
        <v>1</v>
      </c>
      <c r="AH30" t="s">
        <v>58</v>
      </c>
      <c r="AI30">
        <v>2</v>
      </c>
      <c r="AJ30" t="s">
        <v>58</v>
      </c>
      <c r="AK30">
        <v>2</v>
      </c>
      <c r="AL30" t="s">
        <v>60</v>
      </c>
      <c r="AM30">
        <v>1</v>
      </c>
      <c r="AN30" t="s">
        <v>59</v>
      </c>
      <c r="AO30">
        <v>0</v>
      </c>
      <c r="AP30" t="s">
        <v>59</v>
      </c>
      <c r="AQ30">
        <v>0</v>
      </c>
      <c r="AR30" t="s">
        <v>59</v>
      </c>
      <c r="AS30">
        <v>0</v>
      </c>
      <c r="AT30" t="s">
        <v>60</v>
      </c>
      <c r="AU30">
        <v>1</v>
      </c>
      <c r="AV30">
        <f t="shared" si="0"/>
        <v>12</v>
      </c>
      <c r="AW30" t="str">
        <f>IF(Table1[[#This Row],[Pontuação final]]&lt;=2,"Nenhum", IF(Table1[[#This Row],[Pontuação final]]&lt;=12,"Leve", IF(Table1[[#This Row],[Pontuação final]]&lt;=22,"Moderado", "Grave")))</f>
        <v>Leve</v>
      </c>
    </row>
    <row r="31" spans="1:49" x14ac:dyDescent="0.3">
      <c r="A31">
        <v>31</v>
      </c>
      <c r="B31" t="s">
        <v>49</v>
      </c>
      <c r="C31" s="1">
        <v>17</v>
      </c>
      <c r="D31" s="1">
        <v>70</v>
      </c>
      <c r="E31">
        <v>1.8</v>
      </c>
      <c r="F31" t="s">
        <v>50</v>
      </c>
      <c r="G31" t="s">
        <v>79</v>
      </c>
      <c r="H31" t="s">
        <v>52</v>
      </c>
      <c r="I31" t="s">
        <v>62</v>
      </c>
      <c r="K31" t="s">
        <v>116</v>
      </c>
      <c r="L31" t="s">
        <v>55</v>
      </c>
      <c r="M31" t="s">
        <v>56</v>
      </c>
      <c r="O31" t="s">
        <v>65</v>
      </c>
      <c r="P31" t="s">
        <v>58</v>
      </c>
      <c r="Q31">
        <v>2</v>
      </c>
      <c r="R31" t="s">
        <v>58</v>
      </c>
      <c r="S31">
        <v>2</v>
      </c>
      <c r="T31" t="s">
        <v>60</v>
      </c>
      <c r="U31">
        <v>1</v>
      </c>
      <c r="V31" t="s">
        <v>58</v>
      </c>
      <c r="W31">
        <v>2</v>
      </c>
      <c r="X31" t="s">
        <v>59</v>
      </c>
      <c r="Y31">
        <v>0</v>
      </c>
      <c r="Z31" t="s">
        <v>58</v>
      </c>
      <c r="AA31">
        <v>2</v>
      </c>
      <c r="AB31" t="s">
        <v>60</v>
      </c>
      <c r="AC31">
        <v>1</v>
      </c>
      <c r="AD31" t="s">
        <v>59</v>
      </c>
      <c r="AE31">
        <v>0</v>
      </c>
      <c r="AF31" t="s">
        <v>58</v>
      </c>
      <c r="AG31">
        <v>2</v>
      </c>
      <c r="AH31" t="s">
        <v>58</v>
      </c>
      <c r="AI31">
        <v>2</v>
      </c>
      <c r="AJ31" t="s">
        <v>58</v>
      </c>
      <c r="AK31">
        <v>2</v>
      </c>
      <c r="AL31" t="s">
        <v>58</v>
      </c>
      <c r="AM31">
        <v>2</v>
      </c>
      <c r="AN31" t="s">
        <v>60</v>
      </c>
      <c r="AO31">
        <v>1</v>
      </c>
      <c r="AP31" t="s">
        <v>60</v>
      </c>
      <c r="AQ31">
        <v>1</v>
      </c>
      <c r="AR31" t="s">
        <v>59</v>
      </c>
      <c r="AS31">
        <v>0</v>
      </c>
      <c r="AT31" t="s">
        <v>58</v>
      </c>
      <c r="AU31">
        <v>2</v>
      </c>
      <c r="AV31">
        <f t="shared" si="0"/>
        <v>22</v>
      </c>
      <c r="AW31" t="str">
        <f>IF(Table1[[#This Row],[Pontuação final]]&lt;=2,"Nenhum", IF(Table1[[#This Row],[Pontuação final]]&lt;=12,"Leve", IF(Table1[[#This Row],[Pontuação final]]&lt;=22,"Moderado", "Grave")))</f>
        <v>Moderado</v>
      </c>
    </row>
    <row r="32" spans="1:49" x14ac:dyDescent="0.3">
      <c r="A32">
        <v>32</v>
      </c>
      <c r="B32" t="s">
        <v>49</v>
      </c>
      <c r="C32" s="1">
        <v>20</v>
      </c>
      <c r="D32" s="1">
        <v>56</v>
      </c>
      <c r="E32" s="1">
        <v>1.73</v>
      </c>
      <c r="F32" t="s">
        <v>61</v>
      </c>
      <c r="G32" t="s">
        <v>71</v>
      </c>
      <c r="H32" t="s">
        <v>68</v>
      </c>
      <c r="I32" t="s">
        <v>53</v>
      </c>
      <c r="K32" t="s">
        <v>70</v>
      </c>
      <c r="L32" t="s">
        <v>55</v>
      </c>
      <c r="M32" t="s">
        <v>64</v>
      </c>
      <c r="O32" t="s">
        <v>65</v>
      </c>
      <c r="P32" t="s">
        <v>58</v>
      </c>
      <c r="Q32">
        <v>2</v>
      </c>
      <c r="R32" t="s">
        <v>58</v>
      </c>
      <c r="S32">
        <v>2</v>
      </c>
      <c r="T32" t="s">
        <v>58</v>
      </c>
      <c r="U32">
        <v>2</v>
      </c>
      <c r="V32" t="s">
        <v>58</v>
      </c>
      <c r="W32">
        <v>2</v>
      </c>
      <c r="X32" t="s">
        <v>59</v>
      </c>
      <c r="Y32">
        <v>0</v>
      </c>
      <c r="Z32" t="s">
        <v>60</v>
      </c>
      <c r="AA32">
        <v>1</v>
      </c>
      <c r="AB32" t="s">
        <v>59</v>
      </c>
      <c r="AC32">
        <v>0</v>
      </c>
      <c r="AD32" t="s">
        <v>59</v>
      </c>
      <c r="AE32">
        <v>0</v>
      </c>
      <c r="AF32" t="s">
        <v>60</v>
      </c>
      <c r="AG32">
        <v>1</v>
      </c>
      <c r="AH32" t="s">
        <v>58</v>
      </c>
      <c r="AI32">
        <v>2</v>
      </c>
      <c r="AJ32" t="s">
        <v>58</v>
      </c>
      <c r="AK32">
        <v>2</v>
      </c>
      <c r="AL32" t="s">
        <v>58</v>
      </c>
      <c r="AM32">
        <v>2</v>
      </c>
      <c r="AN32" t="s">
        <v>60</v>
      </c>
      <c r="AO32">
        <v>1</v>
      </c>
      <c r="AP32" t="s">
        <v>59</v>
      </c>
      <c r="AQ32">
        <v>0</v>
      </c>
      <c r="AR32" t="s">
        <v>59</v>
      </c>
      <c r="AS32">
        <v>0</v>
      </c>
      <c r="AT32" t="s">
        <v>58</v>
      </c>
      <c r="AU32">
        <v>2</v>
      </c>
      <c r="AV32">
        <f t="shared" si="0"/>
        <v>19</v>
      </c>
      <c r="AW32" t="str">
        <f>IF(Table1[[#This Row],[Pontuação final]]&lt;=2,"Nenhum", IF(Table1[[#This Row],[Pontuação final]]&lt;=12,"Leve", IF(Table1[[#This Row],[Pontuação final]]&lt;=22,"Moderado", "Grave")))</f>
        <v>Moderado</v>
      </c>
    </row>
    <row r="33" spans="1:49" x14ac:dyDescent="0.3">
      <c r="A33">
        <v>33</v>
      </c>
      <c r="B33" t="s">
        <v>49</v>
      </c>
      <c r="C33" s="1">
        <v>19</v>
      </c>
      <c r="D33" s="1">
        <v>65.5</v>
      </c>
      <c r="E33" s="1">
        <v>1.8</v>
      </c>
      <c r="F33" t="s">
        <v>50</v>
      </c>
      <c r="G33" t="s">
        <v>51</v>
      </c>
      <c r="H33" t="s">
        <v>52</v>
      </c>
      <c r="I33" t="s">
        <v>97</v>
      </c>
      <c r="K33" t="s">
        <v>117</v>
      </c>
      <c r="L33" t="s">
        <v>55</v>
      </c>
      <c r="M33" t="s">
        <v>75</v>
      </c>
      <c r="O33" t="s">
        <v>57</v>
      </c>
      <c r="P33" t="s">
        <v>58</v>
      </c>
      <c r="Q33">
        <v>2</v>
      </c>
      <c r="R33" t="s">
        <v>58</v>
      </c>
      <c r="S33">
        <v>2</v>
      </c>
      <c r="T33" t="s">
        <v>58</v>
      </c>
      <c r="U33">
        <v>2</v>
      </c>
      <c r="V33" t="s">
        <v>58</v>
      </c>
      <c r="W33">
        <v>2</v>
      </c>
      <c r="X33" t="s">
        <v>59</v>
      </c>
      <c r="Y33">
        <v>0</v>
      </c>
      <c r="Z33" t="s">
        <v>60</v>
      </c>
      <c r="AA33">
        <v>1</v>
      </c>
      <c r="AB33" t="s">
        <v>59</v>
      </c>
      <c r="AC33">
        <v>0</v>
      </c>
      <c r="AD33" t="s">
        <v>60</v>
      </c>
      <c r="AE33">
        <v>1</v>
      </c>
      <c r="AF33" t="s">
        <v>59</v>
      </c>
      <c r="AG33">
        <v>0</v>
      </c>
      <c r="AH33" t="s">
        <v>60</v>
      </c>
      <c r="AI33">
        <v>1</v>
      </c>
      <c r="AJ33" t="s">
        <v>59</v>
      </c>
      <c r="AK33">
        <v>0</v>
      </c>
      <c r="AL33" t="s">
        <v>60</v>
      </c>
      <c r="AM33">
        <v>1</v>
      </c>
      <c r="AN33" t="s">
        <v>60</v>
      </c>
      <c r="AO33">
        <v>1</v>
      </c>
      <c r="AP33" t="s">
        <v>60</v>
      </c>
      <c r="AQ33">
        <v>1</v>
      </c>
      <c r="AR33" t="s">
        <v>58</v>
      </c>
      <c r="AS33">
        <v>2</v>
      </c>
      <c r="AT33" t="s">
        <v>60</v>
      </c>
      <c r="AU33">
        <v>1</v>
      </c>
      <c r="AV33">
        <f t="shared" si="0"/>
        <v>17</v>
      </c>
      <c r="AW33" t="str">
        <f>IF(Table1[[#This Row],[Pontuação final]]&lt;=2,"Nenhum", IF(Table1[[#This Row],[Pontuação final]]&lt;=12,"Leve", IF(Table1[[#This Row],[Pontuação final]]&lt;=22,"Moderado", "Grave")))</f>
        <v>Moderado</v>
      </c>
    </row>
    <row r="34" spans="1:49" x14ac:dyDescent="0.3">
      <c r="A34">
        <v>34</v>
      </c>
      <c r="B34" t="s">
        <v>49</v>
      </c>
      <c r="C34" s="1">
        <v>20</v>
      </c>
      <c r="D34" s="1">
        <v>70</v>
      </c>
      <c r="E34" s="1">
        <v>1.72</v>
      </c>
      <c r="F34" t="s">
        <v>61</v>
      </c>
      <c r="G34" t="s">
        <v>77</v>
      </c>
      <c r="H34" t="s">
        <v>68</v>
      </c>
      <c r="I34" t="s">
        <v>80</v>
      </c>
      <c r="K34" t="s">
        <v>88</v>
      </c>
      <c r="L34" t="s">
        <v>55</v>
      </c>
      <c r="M34" t="s">
        <v>75</v>
      </c>
      <c r="O34" t="s">
        <v>82</v>
      </c>
      <c r="P34" t="s">
        <v>60</v>
      </c>
      <c r="Q34">
        <v>1</v>
      </c>
      <c r="R34" t="s">
        <v>59</v>
      </c>
      <c r="S34">
        <v>0</v>
      </c>
      <c r="T34" t="s">
        <v>59</v>
      </c>
      <c r="U34">
        <v>0</v>
      </c>
      <c r="V34" t="s">
        <v>58</v>
      </c>
      <c r="W34">
        <v>2</v>
      </c>
      <c r="X34" t="s">
        <v>60</v>
      </c>
      <c r="Y34">
        <v>1</v>
      </c>
      <c r="Z34" t="s">
        <v>60</v>
      </c>
      <c r="AA34">
        <v>1</v>
      </c>
      <c r="AB34" t="s">
        <v>60</v>
      </c>
      <c r="AC34">
        <v>1</v>
      </c>
      <c r="AD34" t="s">
        <v>58</v>
      </c>
      <c r="AE34">
        <v>2</v>
      </c>
      <c r="AF34" t="s">
        <v>58</v>
      </c>
      <c r="AG34">
        <v>2</v>
      </c>
      <c r="AH34" t="s">
        <v>60</v>
      </c>
      <c r="AI34">
        <v>1</v>
      </c>
      <c r="AJ34" t="s">
        <v>60</v>
      </c>
      <c r="AK34">
        <v>1</v>
      </c>
      <c r="AL34" t="s">
        <v>58</v>
      </c>
      <c r="AM34">
        <v>2</v>
      </c>
      <c r="AN34" t="s">
        <v>59</v>
      </c>
      <c r="AO34">
        <v>0</v>
      </c>
      <c r="AP34" t="s">
        <v>59</v>
      </c>
      <c r="AQ34">
        <v>0</v>
      </c>
      <c r="AR34" t="s">
        <v>59</v>
      </c>
      <c r="AS34">
        <v>0</v>
      </c>
      <c r="AT34" t="s">
        <v>60</v>
      </c>
      <c r="AU34">
        <v>1</v>
      </c>
      <c r="AV34">
        <f t="shared" si="0"/>
        <v>15</v>
      </c>
      <c r="AW34" t="str">
        <f>IF(Table1[[#This Row],[Pontuação final]]&lt;=2,"Nenhum", IF(Table1[[#This Row],[Pontuação final]]&lt;=12,"Leve", IF(Table1[[#This Row],[Pontuação final]]&lt;=22,"Moderado", "Grave")))</f>
        <v>Moderado</v>
      </c>
    </row>
    <row r="35" spans="1:49" x14ac:dyDescent="0.3">
      <c r="A35">
        <v>35</v>
      </c>
      <c r="B35" t="s">
        <v>49</v>
      </c>
      <c r="C35" s="1">
        <v>20</v>
      </c>
      <c r="D35" s="1">
        <v>79</v>
      </c>
      <c r="E35">
        <v>1.8</v>
      </c>
      <c r="F35" t="s">
        <v>76</v>
      </c>
      <c r="G35" t="s">
        <v>71</v>
      </c>
      <c r="H35" t="s">
        <v>52</v>
      </c>
      <c r="I35" t="s">
        <v>53</v>
      </c>
      <c r="K35" t="s">
        <v>118</v>
      </c>
      <c r="L35" t="s">
        <v>55</v>
      </c>
      <c r="M35" t="s">
        <v>56</v>
      </c>
      <c r="O35" t="s">
        <v>57</v>
      </c>
      <c r="P35" t="s">
        <v>58</v>
      </c>
      <c r="Q35">
        <v>2</v>
      </c>
      <c r="R35" t="s">
        <v>59</v>
      </c>
      <c r="S35">
        <v>0</v>
      </c>
      <c r="T35" t="s">
        <v>59</v>
      </c>
      <c r="U35">
        <v>0</v>
      </c>
      <c r="V35" t="s">
        <v>58</v>
      </c>
      <c r="W35">
        <v>2</v>
      </c>
      <c r="X35" t="s">
        <v>58</v>
      </c>
      <c r="Y35">
        <v>2</v>
      </c>
      <c r="Z35" t="s">
        <v>60</v>
      </c>
      <c r="AA35">
        <v>1</v>
      </c>
      <c r="AB35" t="s">
        <v>58</v>
      </c>
      <c r="AC35">
        <v>2</v>
      </c>
      <c r="AD35" t="s">
        <v>58</v>
      </c>
      <c r="AE35">
        <v>2</v>
      </c>
      <c r="AF35" t="s">
        <v>58</v>
      </c>
      <c r="AG35">
        <v>2</v>
      </c>
      <c r="AH35" t="s">
        <v>60</v>
      </c>
      <c r="AI35">
        <v>1</v>
      </c>
      <c r="AJ35" t="s">
        <v>58</v>
      </c>
      <c r="AK35">
        <v>2</v>
      </c>
      <c r="AL35" t="s">
        <v>58</v>
      </c>
      <c r="AM35">
        <v>2</v>
      </c>
      <c r="AN35" t="s">
        <v>60</v>
      </c>
      <c r="AO35">
        <v>1</v>
      </c>
      <c r="AP35" t="s">
        <v>58</v>
      </c>
      <c r="AQ35">
        <v>2</v>
      </c>
      <c r="AR35" t="s">
        <v>58</v>
      </c>
      <c r="AS35">
        <v>2</v>
      </c>
      <c r="AT35" t="s">
        <v>58</v>
      </c>
      <c r="AU35">
        <v>2</v>
      </c>
      <c r="AV35">
        <f t="shared" si="0"/>
        <v>25</v>
      </c>
      <c r="AW35" t="str">
        <f>IF(Table1[[#This Row],[Pontuação final]]&lt;=2,"Nenhum", IF(Table1[[#This Row],[Pontuação final]]&lt;=12,"Leve", IF(Table1[[#This Row],[Pontuação final]]&lt;=22,"Moderado", "Grave")))</f>
        <v>Grave</v>
      </c>
    </row>
    <row r="36" spans="1:49" x14ac:dyDescent="0.3">
      <c r="A36">
        <v>36</v>
      </c>
      <c r="B36" t="s">
        <v>66</v>
      </c>
      <c r="C36" s="1">
        <v>24</v>
      </c>
      <c r="D36" s="1">
        <v>48</v>
      </c>
      <c r="E36">
        <v>1.53</v>
      </c>
      <c r="F36" t="s">
        <v>76</v>
      </c>
      <c r="G36" t="s">
        <v>105</v>
      </c>
      <c r="H36" t="s">
        <v>68</v>
      </c>
      <c r="I36" t="s">
        <v>72</v>
      </c>
      <c r="K36" t="s">
        <v>70</v>
      </c>
      <c r="L36" t="s">
        <v>55</v>
      </c>
      <c r="M36" t="s">
        <v>64</v>
      </c>
      <c r="O36" t="s">
        <v>57</v>
      </c>
      <c r="P36" t="s">
        <v>58</v>
      </c>
      <c r="Q36">
        <v>2</v>
      </c>
      <c r="R36" t="s">
        <v>60</v>
      </c>
      <c r="S36">
        <v>1</v>
      </c>
      <c r="T36" t="s">
        <v>59</v>
      </c>
      <c r="U36">
        <v>0</v>
      </c>
      <c r="V36" t="s">
        <v>58</v>
      </c>
      <c r="W36">
        <v>2</v>
      </c>
      <c r="X36" t="s">
        <v>60</v>
      </c>
      <c r="Y36">
        <v>1</v>
      </c>
      <c r="Z36" t="s">
        <v>60</v>
      </c>
      <c r="AA36">
        <v>1</v>
      </c>
      <c r="AB36" t="s">
        <v>60</v>
      </c>
      <c r="AC36">
        <v>1</v>
      </c>
      <c r="AD36" t="s">
        <v>59</v>
      </c>
      <c r="AE36">
        <v>0</v>
      </c>
      <c r="AF36" t="s">
        <v>60</v>
      </c>
      <c r="AG36">
        <v>1</v>
      </c>
      <c r="AH36" t="s">
        <v>58</v>
      </c>
      <c r="AI36">
        <v>2</v>
      </c>
      <c r="AJ36" t="s">
        <v>58</v>
      </c>
      <c r="AK36">
        <v>2</v>
      </c>
      <c r="AL36" t="s">
        <v>58</v>
      </c>
      <c r="AM36">
        <v>2</v>
      </c>
      <c r="AN36" t="s">
        <v>58</v>
      </c>
      <c r="AO36">
        <v>2</v>
      </c>
      <c r="AP36" t="s">
        <v>60</v>
      </c>
      <c r="AQ36">
        <v>1</v>
      </c>
      <c r="AR36" t="s">
        <v>60</v>
      </c>
      <c r="AS36">
        <v>1</v>
      </c>
      <c r="AT36" t="s">
        <v>58</v>
      </c>
      <c r="AU36">
        <v>2</v>
      </c>
      <c r="AV36">
        <f t="shared" si="0"/>
        <v>21</v>
      </c>
      <c r="AW36" t="str">
        <f>IF(Table1[[#This Row],[Pontuação final]]&lt;=2,"Nenhum", IF(Table1[[#This Row],[Pontuação final]]&lt;=12,"Leve", IF(Table1[[#This Row],[Pontuação final]]&lt;=22,"Moderado", "Grave")))</f>
        <v>Moderado</v>
      </c>
    </row>
    <row r="37" spans="1:49" x14ac:dyDescent="0.3">
      <c r="A37">
        <v>37</v>
      </c>
      <c r="B37" t="s">
        <v>49</v>
      </c>
      <c r="C37" s="1">
        <v>21</v>
      </c>
      <c r="D37" s="1">
        <v>75</v>
      </c>
      <c r="E37" s="1">
        <v>1.78</v>
      </c>
      <c r="F37" t="s">
        <v>50</v>
      </c>
      <c r="G37" t="s">
        <v>90</v>
      </c>
      <c r="H37" t="s">
        <v>68</v>
      </c>
      <c r="I37" t="s">
        <v>72</v>
      </c>
      <c r="K37" t="s">
        <v>70</v>
      </c>
      <c r="L37" t="s">
        <v>55</v>
      </c>
      <c r="M37" t="s">
        <v>64</v>
      </c>
      <c r="O37" t="s">
        <v>57</v>
      </c>
      <c r="P37" t="s">
        <v>58</v>
      </c>
      <c r="Q37">
        <v>2</v>
      </c>
      <c r="R37" t="s">
        <v>58</v>
      </c>
      <c r="S37">
        <v>2</v>
      </c>
      <c r="T37" t="s">
        <v>60</v>
      </c>
      <c r="U37">
        <v>1</v>
      </c>
      <c r="V37" t="s">
        <v>58</v>
      </c>
      <c r="W37">
        <v>2</v>
      </c>
      <c r="X37" t="s">
        <v>59</v>
      </c>
      <c r="Y37">
        <v>0</v>
      </c>
      <c r="Z37" t="s">
        <v>59</v>
      </c>
      <c r="AA37">
        <v>0</v>
      </c>
      <c r="AB37" t="s">
        <v>59</v>
      </c>
      <c r="AC37">
        <v>0</v>
      </c>
      <c r="AD37" t="s">
        <v>59</v>
      </c>
      <c r="AE37">
        <v>0</v>
      </c>
      <c r="AF37" t="s">
        <v>60</v>
      </c>
      <c r="AG37">
        <v>1</v>
      </c>
      <c r="AH37" t="s">
        <v>59</v>
      </c>
      <c r="AI37">
        <v>0</v>
      </c>
      <c r="AJ37" t="s">
        <v>59</v>
      </c>
      <c r="AK37">
        <v>0</v>
      </c>
      <c r="AL37" t="s">
        <v>58</v>
      </c>
      <c r="AM37">
        <v>2</v>
      </c>
      <c r="AN37" t="s">
        <v>59</v>
      </c>
      <c r="AO37">
        <v>0</v>
      </c>
      <c r="AP37" t="s">
        <v>59</v>
      </c>
      <c r="AQ37">
        <v>0</v>
      </c>
      <c r="AR37" t="s">
        <v>59</v>
      </c>
      <c r="AS37">
        <v>0</v>
      </c>
      <c r="AT37" t="s">
        <v>60</v>
      </c>
      <c r="AU37">
        <v>1</v>
      </c>
      <c r="AV37">
        <f t="shared" si="0"/>
        <v>11</v>
      </c>
      <c r="AW37" t="str">
        <f>IF(Table1[[#This Row],[Pontuação final]]&lt;=2,"Nenhum", IF(Table1[[#This Row],[Pontuação final]]&lt;=12,"Leve", IF(Table1[[#This Row],[Pontuação final]]&lt;=22,"Moderado", "Grave")))</f>
        <v>Leve</v>
      </c>
    </row>
    <row r="38" spans="1:49" x14ac:dyDescent="0.3">
      <c r="A38">
        <v>38</v>
      </c>
      <c r="B38" t="s">
        <v>66</v>
      </c>
      <c r="C38" s="1">
        <v>22</v>
      </c>
      <c r="D38" s="1">
        <v>88</v>
      </c>
      <c r="E38">
        <v>1.75</v>
      </c>
      <c r="F38" t="s">
        <v>76</v>
      </c>
      <c r="G38" t="s">
        <v>77</v>
      </c>
      <c r="H38" t="s">
        <v>68</v>
      </c>
      <c r="I38" t="s">
        <v>72</v>
      </c>
      <c r="K38" t="s">
        <v>70</v>
      </c>
      <c r="L38" t="s">
        <v>55</v>
      </c>
      <c r="M38" t="s">
        <v>64</v>
      </c>
      <c r="O38" t="s">
        <v>65</v>
      </c>
      <c r="P38" t="s">
        <v>58</v>
      </c>
      <c r="Q38">
        <v>2</v>
      </c>
      <c r="R38" t="s">
        <v>59</v>
      </c>
      <c r="S38">
        <v>0</v>
      </c>
      <c r="T38" t="s">
        <v>60</v>
      </c>
      <c r="U38">
        <v>1</v>
      </c>
      <c r="V38" t="s">
        <v>58</v>
      </c>
      <c r="W38">
        <v>2</v>
      </c>
      <c r="X38" t="s">
        <v>60</v>
      </c>
      <c r="Y38">
        <v>1</v>
      </c>
      <c r="Z38" t="s">
        <v>60</v>
      </c>
      <c r="AA38">
        <v>1</v>
      </c>
      <c r="AB38" t="s">
        <v>60</v>
      </c>
      <c r="AC38">
        <v>1</v>
      </c>
      <c r="AD38" t="s">
        <v>58</v>
      </c>
      <c r="AE38">
        <v>2</v>
      </c>
      <c r="AF38" t="s">
        <v>58</v>
      </c>
      <c r="AG38">
        <v>2</v>
      </c>
      <c r="AH38" t="s">
        <v>60</v>
      </c>
      <c r="AI38">
        <v>1</v>
      </c>
      <c r="AJ38" t="s">
        <v>59</v>
      </c>
      <c r="AK38">
        <v>0</v>
      </c>
      <c r="AL38" t="s">
        <v>58</v>
      </c>
      <c r="AM38">
        <v>2</v>
      </c>
      <c r="AN38" t="s">
        <v>58</v>
      </c>
      <c r="AO38">
        <v>2</v>
      </c>
      <c r="AP38" t="s">
        <v>60</v>
      </c>
      <c r="AQ38">
        <v>1</v>
      </c>
      <c r="AR38" t="s">
        <v>58</v>
      </c>
      <c r="AS38">
        <v>2</v>
      </c>
      <c r="AT38" t="s">
        <v>58</v>
      </c>
      <c r="AU38">
        <v>2</v>
      </c>
      <c r="AV38">
        <f t="shared" si="0"/>
        <v>22</v>
      </c>
      <c r="AW38" t="str">
        <f>IF(Table1[[#This Row],[Pontuação final]]&lt;=2,"Nenhum", IF(Table1[[#This Row],[Pontuação final]]&lt;=12,"Leve", IF(Table1[[#This Row],[Pontuação final]]&lt;=22,"Moderado", "Grave")))</f>
        <v>Moderado</v>
      </c>
    </row>
    <row r="39" spans="1:49" x14ac:dyDescent="0.3">
      <c r="A39">
        <v>39</v>
      </c>
      <c r="B39" t="s">
        <v>49</v>
      </c>
      <c r="C39" s="1">
        <v>20</v>
      </c>
      <c r="D39" s="1">
        <v>79</v>
      </c>
      <c r="E39" s="1">
        <v>1.72</v>
      </c>
      <c r="F39" t="s">
        <v>61</v>
      </c>
      <c r="G39" t="s">
        <v>77</v>
      </c>
      <c r="H39" t="s">
        <v>52</v>
      </c>
      <c r="I39" t="s">
        <v>97</v>
      </c>
      <c r="K39" t="s">
        <v>63</v>
      </c>
      <c r="L39" t="s">
        <v>55</v>
      </c>
      <c r="M39" t="s">
        <v>56</v>
      </c>
      <c r="O39" t="s">
        <v>57</v>
      </c>
      <c r="P39" t="s">
        <v>58</v>
      </c>
      <c r="Q39">
        <v>2</v>
      </c>
      <c r="R39" t="s">
        <v>58</v>
      </c>
      <c r="S39">
        <v>2</v>
      </c>
      <c r="T39" t="s">
        <v>59</v>
      </c>
      <c r="U39">
        <v>0</v>
      </c>
      <c r="V39" t="s">
        <v>60</v>
      </c>
      <c r="W39">
        <v>1</v>
      </c>
      <c r="X39" t="s">
        <v>59</v>
      </c>
      <c r="Y39">
        <v>0</v>
      </c>
      <c r="Z39" t="s">
        <v>59</v>
      </c>
      <c r="AA39">
        <v>0</v>
      </c>
      <c r="AB39" t="s">
        <v>59</v>
      </c>
      <c r="AC39">
        <v>0</v>
      </c>
      <c r="AD39" t="s">
        <v>59</v>
      </c>
      <c r="AE39">
        <v>0</v>
      </c>
      <c r="AF39" t="s">
        <v>60</v>
      </c>
      <c r="AG39">
        <v>1</v>
      </c>
      <c r="AH39" t="s">
        <v>59</v>
      </c>
      <c r="AI39">
        <v>0</v>
      </c>
      <c r="AJ39" t="s">
        <v>59</v>
      </c>
      <c r="AK39">
        <v>0</v>
      </c>
      <c r="AL39" t="s">
        <v>58</v>
      </c>
      <c r="AM39">
        <v>2</v>
      </c>
      <c r="AN39" t="s">
        <v>60</v>
      </c>
      <c r="AO39">
        <v>1</v>
      </c>
      <c r="AP39" t="s">
        <v>59</v>
      </c>
      <c r="AQ39">
        <v>0</v>
      </c>
      <c r="AR39" t="s">
        <v>59</v>
      </c>
      <c r="AS39">
        <v>0</v>
      </c>
      <c r="AT39" t="s">
        <v>60</v>
      </c>
      <c r="AU39">
        <v>1</v>
      </c>
      <c r="AV39">
        <f t="shared" si="0"/>
        <v>10</v>
      </c>
      <c r="AW39" t="str">
        <f>IF(Table1[[#This Row],[Pontuação final]]&lt;=2,"Nenhum", IF(Table1[[#This Row],[Pontuação final]]&lt;=12,"Leve", IF(Table1[[#This Row],[Pontuação final]]&lt;=22,"Moderado", "Grave")))</f>
        <v>Leve</v>
      </c>
    </row>
    <row r="40" spans="1:49" x14ac:dyDescent="0.3">
      <c r="A40">
        <v>40</v>
      </c>
      <c r="B40" t="s">
        <v>49</v>
      </c>
      <c r="C40" s="1">
        <v>22</v>
      </c>
      <c r="D40" s="1">
        <v>110</v>
      </c>
      <c r="E40" s="1">
        <v>1.86</v>
      </c>
      <c r="F40" t="s">
        <v>61</v>
      </c>
      <c r="G40" t="s">
        <v>67</v>
      </c>
      <c r="H40" t="s">
        <v>52</v>
      </c>
      <c r="I40" t="s">
        <v>80</v>
      </c>
      <c r="K40" t="s">
        <v>54</v>
      </c>
      <c r="L40" t="s">
        <v>55</v>
      </c>
      <c r="M40" t="s">
        <v>75</v>
      </c>
      <c r="O40" t="s">
        <v>57</v>
      </c>
      <c r="P40" t="s">
        <v>58</v>
      </c>
      <c r="Q40">
        <v>2</v>
      </c>
      <c r="R40" t="s">
        <v>60</v>
      </c>
      <c r="S40">
        <v>1</v>
      </c>
      <c r="T40" t="s">
        <v>59</v>
      </c>
      <c r="U40">
        <v>0</v>
      </c>
      <c r="V40" t="s">
        <v>58</v>
      </c>
      <c r="W40">
        <v>2</v>
      </c>
      <c r="X40" t="s">
        <v>60</v>
      </c>
      <c r="Y40">
        <v>1</v>
      </c>
      <c r="Z40" t="s">
        <v>60</v>
      </c>
      <c r="AA40">
        <v>1</v>
      </c>
      <c r="AB40" t="s">
        <v>59</v>
      </c>
      <c r="AC40">
        <v>0</v>
      </c>
      <c r="AD40" t="s">
        <v>59</v>
      </c>
      <c r="AE40">
        <v>0</v>
      </c>
      <c r="AF40" t="s">
        <v>60</v>
      </c>
      <c r="AG40">
        <v>1</v>
      </c>
      <c r="AH40" t="s">
        <v>58</v>
      </c>
      <c r="AI40">
        <v>2</v>
      </c>
      <c r="AJ40" t="s">
        <v>58</v>
      </c>
      <c r="AK40">
        <v>2</v>
      </c>
      <c r="AL40" t="s">
        <v>60</v>
      </c>
      <c r="AM40">
        <v>1</v>
      </c>
      <c r="AN40" t="s">
        <v>60</v>
      </c>
      <c r="AO40">
        <v>1</v>
      </c>
      <c r="AP40" t="s">
        <v>60</v>
      </c>
      <c r="AQ40">
        <v>1</v>
      </c>
      <c r="AR40" t="s">
        <v>59</v>
      </c>
      <c r="AS40">
        <v>0</v>
      </c>
      <c r="AT40" t="s">
        <v>60</v>
      </c>
      <c r="AU40">
        <v>1</v>
      </c>
      <c r="AV40">
        <f t="shared" si="0"/>
        <v>16</v>
      </c>
      <c r="AW40" t="str">
        <f>IF(Table1[[#This Row],[Pontuação final]]&lt;=2,"Nenhum", IF(Table1[[#This Row],[Pontuação final]]&lt;=12,"Leve", IF(Table1[[#This Row],[Pontuação final]]&lt;=22,"Moderado", "Grave")))</f>
        <v>Moderado</v>
      </c>
    </row>
    <row r="41" spans="1:49" x14ac:dyDescent="0.3">
      <c r="A41">
        <v>41</v>
      </c>
      <c r="B41" t="s">
        <v>66</v>
      </c>
      <c r="C41" s="1">
        <v>19</v>
      </c>
      <c r="D41" s="1">
        <v>51</v>
      </c>
      <c r="E41" s="1">
        <v>1.61</v>
      </c>
      <c r="F41" t="s">
        <v>119</v>
      </c>
      <c r="G41" t="s">
        <v>51</v>
      </c>
      <c r="H41" t="s">
        <v>52</v>
      </c>
      <c r="I41" t="s">
        <v>53</v>
      </c>
      <c r="K41" t="s">
        <v>120</v>
      </c>
      <c r="L41" t="s">
        <v>55</v>
      </c>
      <c r="M41" t="s">
        <v>92</v>
      </c>
      <c r="N41" t="s">
        <v>121</v>
      </c>
      <c r="O41" t="s">
        <v>57</v>
      </c>
      <c r="P41" t="s">
        <v>60</v>
      </c>
      <c r="Q41">
        <v>1</v>
      </c>
      <c r="R41" t="s">
        <v>59</v>
      </c>
      <c r="S41">
        <v>0</v>
      </c>
      <c r="T41" t="s">
        <v>60</v>
      </c>
      <c r="U41">
        <v>1</v>
      </c>
      <c r="V41" t="s">
        <v>58</v>
      </c>
      <c r="W41">
        <v>2</v>
      </c>
      <c r="X41" t="s">
        <v>60</v>
      </c>
      <c r="Y41">
        <v>1</v>
      </c>
      <c r="Z41" t="s">
        <v>59</v>
      </c>
      <c r="AA41">
        <v>0</v>
      </c>
      <c r="AB41" t="s">
        <v>60</v>
      </c>
      <c r="AC41">
        <v>1</v>
      </c>
      <c r="AD41" t="s">
        <v>60</v>
      </c>
      <c r="AE41">
        <v>1</v>
      </c>
      <c r="AF41" t="s">
        <v>60</v>
      </c>
      <c r="AG41">
        <v>1</v>
      </c>
      <c r="AH41" t="s">
        <v>60</v>
      </c>
      <c r="AI41">
        <v>1</v>
      </c>
      <c r="AJ41" t="s">
        <v>59</v>
      </c>
      <c r="AK41">
        <v>0</v>
      </c>
      <c r="AL41" t="s">
        <v>60</v>
      </c>
      <c r="AM41">
        <v>1</v>
      </c>
      <c r="AN41" t="s">
        <v>59</v>
      </c>
      <c r="AO41">
        <v>0</v>
      </c>
      <c r="AP41" t="s">
        <v>60</v>
      </c>
      <c r="AQ41">
        <v>1</v>
      </c>
      <c r="AR41" t="s">
        <v>59</v>
      </c>
      <c r="AS41">
        <v>0</v>
      </c>
      <c r="AT41" t="s">
        <v>60</v>
      </c>
      <c r="AU41">
        <v>1</v>
      </c>
      <c r="AV41">
        <f t="shared" si="0"/>
        <v>12</v>
      </c>
      <c r="AW41" t="str">
        <f>IF(Table1[[#This Row],[Pontuação final]]&lt;=2,"Nenhum", IF(Table1[[#This Row],[Pontuação final]]&lt;=12,"Leve", IF(Table1[[#This Row],[Pontuação final]]&lt;=22,"Moderado", "Grave")))</f>
        <v>Leve</v>
      </c>
    </row>
    <row r="42" spans="1:49" x14ac:dyDescent="0.3">
      <c r="A42">
        <v>42</v>
      </c>
      <c r="B42" t="s">
        <v>66</v>
      </c>
      <c r="C42" s="1">
        <v>19</v>
      </c>
      <c r="D42" s="1">
        <v>58</v>
      </c>
      <c r="E42">
        <v>1.72</v>
      </c>
      <c r="F42" t="s">
        <v>61</v>
      </c>
      <c r="G42" t="s">
        <v>79</v>
      </c>
      <c r="H42" t="s">
        <v>52</v>
      </c>
      <c r="I42" t="s">
        <v>62</v>
      </c>
      <c r="K42" t="s">
        <v>63</v>
      </c>
      <c r="L42" t="s">
        <v>55</v>
      </c>
      <c r="M42" t="s">
        <v>64</v>
      </c>
      <c r="O42" t="s">
        <v>65</v>
      </c>
      <c r="P42" t="s">
        <v>58</v>
      </c>
      <c r="Q42">
        <v>2</v>
      </c>
      <c r="R42" t="s">
        <v>58</v>
      </c>
      <c r="S42">
        <v>2</v>
      </c>
      <c r="T42" t="s">
        <v>58</v>
      </c>
      <c r="U42">
        <v>2</v>
      </c>
      <c r="V42" t="s">
        <v>58</v>
      </c>
      <c r="W42">
        <v>2</v>
      </c>
      <c r="X42" t="s">
        <v>58</v>
      </c>
      <c r="Y42">
        <v>2</v>
      </c>
      <c r="Z42" t="s">
        <v>58</v>
      </c>
      <c r="AA42">
        <v>2</v>
      </c>
      <c r="AB42" t="s">
        <v>58</v>
      </c>
      <c r="AC42">
        <v>2</v>
      </c>
      <c r="AD42" t="s">
        <v>58</v>
      </c>
      <c r="AE42">
        <v>2</v>
      </c>
      <c r="AF42" t="s">
        <v>58</v>
      </c>
      <c r="AG42">
        <v>2</v>
      </c>
      <c r="AH42" t="s">
        <v>58</v>
      </c>
      <c r="AI42">
        <v>2</v>
      </c>
      <c r="AJ42" t="s">
        <v>58</v>
      </c>
      <c r="AK42">
        <v>2</v>
      </c>
      <c r="AL42" t="s">
        <v>58</v>
      </c>
      <c r="AM42">
        <v>2</v>
      </c>
      <c r="AN42" t="s">
        <v>60</v>
      </c>
      <c r="AO42">
        <v>1</v>
      </c>
      <c r="AP42" t="s">
        <v>58</v>
      </c>
      <c r="AQ42">
        <v>2</v>
      </c>
      <c r="AR42" t="s">
        <v>59</v>
      </c>
      <c r="AS42">
        <v>0</v>
      </c>
      <c r="AT42" t="s">
        <v>58</v>
      </c>
      <c r="AU42">
        <v>2</v>
      </c>
      <c r="AV42">
        <f t="shared" si="0"/>
        <v>29</v>
      </c>
      <c r="AW42" t="str">
        <f>IF(Table1[[#This Row],[Pontuação final]]&lt;=2,"Nenhum", IF(Table1[[#This Row],[Pontuação final]]&lt;=12,"Leve", IF(Table1[[#This Row],[Pontuação final]]&lt;=22,"Moderado", "Grave")))</f>
        <v>Grave</v>
      </c>
    </row>
    <row r="43" spans="1:49" x14ac:dyDescent="0.3">
      <c r="A43">
        <v>43</v>
      </c>
      <c r="B43" t="s">
        <v>49</v>
      </c>
      <c r="C43" s="1">
        <v>19</v>
      </c>
      <c r="D43" s="1">
        <v>72</v>
      </c>
      <c r="E43" s="1">
        <v>1.75</v>
      </c>
      <c r="F43" t="s">
        <v>61</v>
      </c>
      <c r="G43" t="s">
        <v>51</v>
      </c>
      <c r="H43" t="s">
        <v>52</v>
      </c>
      <c r="I43" t="s">
        <v>62</v>
      </c>
      <c r="J43" t="s">
        <v>122</v>
      </c>
      <c r="K43" t="s">
        <v>123</v>
      </c>
      <c r="L43" t="s">
        <v>124</v>
      </c>
      <c r="M43" t="s">
        <v>75</v>
      </c>
      <c r="O43" t="s">
        <v>57</v>
      </c>
      <c r="P43" t="s">
        <v>58</v>
      </c>
      <c r="Q43">
        <v>2</v>
      </c>
      <c r="R43" t="s">
        <v>59</v>
      </c>
      <c r="S43">
        <v>0</v>
      </c>
      <c r="T43" t="s">
        <v>60</v>
      </c>
      <c r="U43">
        <v>1</v>
      </c>
      <c r="V43" t="s">
        <v>58</v>
      </c>
      <c r="W43">
        <v>2</v>
      </c>
      <c r="X43" t="s">
        <v>59</v>
      </c>
      <c r="Y43">
        <v>0</v>
      </c>
      <c r="Z43" t="s">
        <v>60</v>
      </c>
      <c r="AA43">
        <v>1</v>
      </c>
      <c r="AB43" t="s">
        <v>59</v>
      </c>
      <c r="AC43">
        <v>0</v>
      </c>
      <c r="AD43" t="s">
        <v>58</v>
      </c>
      <c r="AE43">
        <v>2</v>
      </c>
      <c r="AF43" t="s">
        <v>60</v>
      </c>
      <c r="AG43">
        <v>1</v>
      </c>
      <c r="AH43" t="s">
        <v>59</v>
      </c>
      <c r="AI43">
        <v>0</v>
      </c>
      <c r="AJ43" t="s">
        <v>59</v>
      </c>
      <c r="AK43">
        <v>0</v>
      </c>
      <c r="AL43" t="s">
        <v>60</v>
      </c>
      <c r="AM43">
        <v>1</v>
      </c>
      <c r="AN43" t="s">
        <v>59</v>
      </c>
      <c r="AO43">
        <v>0</v>
      </c>
      <c r="AP43" t="s">
        <v>59</v>
      </c>
      <c r="AQ43">
        <v>0</v>
      </c>
      <c r="AR43" t="s">
        <v>58</v>
      </c>
      <c r="AS43">
        <v>2</v>
      </c>
      <c r="AT43" t="s">
        <v>60</v>
      </c>
      <c r="AU43">
        <v>1</v>
      </c>
      <c r="AV43">
        <f t="shared" si="0"/>
        <v>13</v>
      </c>
      <c r="AW43" t="str">
        <f>IF(Table1[[#This Row],[Pontuação final]]&lt;=2,"Nenhum", IF(Table1[[#This Row],[Pontuação final]]&lt;=12,"Leve", IF(Table1[[#This Row],[Pontuação final]]&lt;=22,"Moderado", "Grave")))</f>
        <v>Moderado</v>
      </c>
    </row>
    <row r="44" spans="1:49" x14ac:dyDescent="0.3">
      <c r="A44">
        <v>44</v>
      </c>
      <c r="B44" t="s">
        <v>49</v>
      </c>
      <c r="C44" s="1">
        <v>20</v>
      </c>
      <c r="D44" s="1">
        <v>85</v>
      </c>
      <c r="E44">
        <v>1.67</v>
      </c>
      <c r="F44" t="s">
        <v>61</v>
      </c>
      <c r="G44" t="s">
        <v>90</v>
      </c>
      <c r="H44" t="s">
        <v>68</v>
      </c>
      <c r="I44" t="s">
        <v>80</v>
      </c>
      <c r="K44" t="s">
        <v>125</v>
      </c>
      <c r="L44" t="s">
        <v>109</v>
      </c>
      <c r="M44" t="s">
        <v>56</v>
      </c>
      <c r="O44" t="s">
        <v>57</v>
      </c>
      <c r="P44" t="s">
        <v>60</v>
      </c>
      <c r="Q44">
        <v>1</v>
      </c>
      <c r="R44" t="s">
        <v>60</v>
      </c>
      <c r="S44">
        <v>1</v>
      </c>
      <c r="T44" t="s">
        <v>59</v>
      </c>
      <c r="U44">
        <v>0</v>
      </c>
      <c r="V44" t="s">
        <v>60</v>
      </c>
      <c r="W44">
        <v>1</v>
      </c>
      <c r="X44" t="s">
        <v>59</v>
      </c>
      <c r="Y44">
        <v>0</v>
      </c>
      <c r="Z44" t="s">
        <v>59</v>
      </c>
      <c r="AA44">
        <v>0</v>
      </c>
      <c r="AB44" t="s">
        <v>59</v>
      </c>
      <c r="AC44">
        <v>0</v>
      </c>
      <c r="AD44" t="s">
        <v>59</v>
      </c>
      <c r="AE44">
        <v>0</v>
      </c>
      <c r="AF44" t="s">
        <v>60</v>
      </c>
      <c r="AG44">
        <v>1</v>
      </c>
      <c r="AH44" t="s">
        <v>58</v>
      </c>
      <c r="AI44">
        <v>2</v>
      </c>
      <c r="AJ44" t="s">
        <v>58</v>
      </c>
      <c r="AK44">
        <v>2</v>
      </c>
      <c r="AL44" t="s">
        <v>60</v>
      </c>
      <c r="AM44">
        <v>1</v>
      </c>
      <c r="AN44" t="s">
        <v>60</v>
      </c>
      <c r="AO44">
        <v>1</v>
      </c>
      <c r="AP44" t="s">
        <v>59</v>
      </c>
      <c r="AQ44">
        <v>0</v>
      </c>
      <c r="AR44" t="s">
        <v>59</v>
      </c>
      <c r="AS44">
        <v>0</v>
      </c>
      <c r="AT44" t="s">
        <v>60</v>
      </c>
      <c r="AU44">
        <v>1</v>
      </c>
      <c r="AV44">
        <f t="shared" si="0"/>
        <v>11</v>
      </c>
      <c r="AW44" t="str">
        <f>IF(Table1[[#This Row],[Pontuação final]]&lt;=2,"Nenhum", IF(Table1[[#This Row],[Pontuação final]]&lt;=12,"Leve", IF(Table1[[#This Row],[Pontuação final]]&lt;=22,"Moderado", "Grave")))</f>
        <v>Leve</v>
      </c>
    </row>
    <row r="45" spans="1:49" x14ac:dyDescent="0.3">
      <c r="A45">
        <v>45</v>
      </c>
      <c r="B45" t="s">
        <v>49</v>
      </c>
      <c r="C45" s="1">
        <v>26</v>
      </c>
      <c r="D45" s="1">
        <v>80</v>
      </c>
      <c r="E45" s="1">
        <v>1.7</v>
      </c>
      <c r="F45" t="s">
        <v>50</v>
      </c>
      <c r="G45" t="s">
        <v>102</v>
      </c>
      <c r="H45" t="s">
        <v>52</v>
      </c>
      <c r="I45" t="s">
        <v>62</v>
      </c>
      <c r="K45" t="s">
        <v>126</v>
      </c>
      <c r="L45" t="s">
        <v>55</v>
      </c>
      <c r="M45" t="s">
        <v>92</v>
      </c>
      <c r="N45" t="s">
        <v>127</v>
      </c>
      <c r="O45" t="s">
        <v>57</v>
      </c>
      <c r="P45" t="s">
        <v>58</v>
      </c>
      <c r="Q45">
        <v>2</v>
      </c>
      <c r="R45" t="s">
        <v>59</v>
      </c>
      <c r="S45">
        <v>0</v>
      </c>
      <c r="T45" t="s">
        <v>60</v>
      </c>
      <c r="U45">
        <v>1</v>
      </c>
      <c r="V45" t="s">
        <v>58</v>
      </c>
      <c r="W45">
        <v>2</v>
      </c>
      <c r="X45" t="s">
        <v>60</v>
      </c>
      <c r="Y45">
        <v>1</v>
      </c>
      <c r="Z45" t="s">
        <v>59</v>
      </c>
      <c r="AA45">
        <v>0</v>
      </c>
      <c r="AB45" t="s">
        <v>60</v>
      </c>
      <c r="AC45">
        <v>1</v>
      </c>
      <c r="AD45" t="s">
        <v>59</v>
      </c>
      <c r="AE45">
        <v>0</v>
      </c>
      <c r="AF45" t="s">
        <v>60</v>
      </c>
      <c r="AG45">
        <v>1</v>
      </c>
      <c r="AH45" t="s">
        <v>60</v>
      </c>
      <c r="AI45">
        <v>1</v>
      </c>
      <c r="AJ45" t="s">
        <v>60</v>
      </c>
      <c r="AK45">
        <v>1</v>
      </c>
      <c r="AL45" t="s">
        <v>58</v>
      </c>
      <c r="AM45">
        <v>2</v>
      </c>
      <c r="AN45" t="s">
        <v>60</v>
      </c>
      <c r="AO45">
        <v>1</v>
      </c>
      <c r="AP45" t="s">
        <v>60</v>
      </c>
      <c r="AQ45">
        <v>1</v>
      </c>
      <c r="AR45" t="s">
        <v>59</v>
      </c>
      <c r="AS45">
        <v>0</v>
      </c>
      <c r="AT45" t="s">
        <v>58</v>
      </c>
      <c r="AU45">
        <v>2</v>
      </c>
      <c r="AV45">
        <f t="shared" si="0"/>
        <v>16</v>
      </c>
      <c r="AW45" t="str">
        <f>IF(Table1[[#This Row],[Pontuação final]]&lt;=2,"Nenhum", IF(Table1[[#This Row],[Pontuação final]]&lt;=12,"Leve", IF(Table1[[#This Row],[Pontuação final]]&lt;=22,"Moderado", "Grave")))</f>
        <v>Moderado</v>
      </c>
    </row>
    <row r="46" spans="1:49" x14ac:dyDescent="0.3">
      <c r="A46">
        <v>46</v>
      </c>
      <c r="B46" t="s">
        <v>66</v>
      </c>
      <c r="C46" s="1">
        <v>19</v>
      </c>
      <c r="D46" s="1">
        <v>60</v>
      </c>
      <c r="E46" s="1">
        <v>1.7</v>
      </c>
      <c r="F46" t="s">
        <v>50</v>
      </c>
      <c r="G46" t="s">
        <v>51</v>
      </c>
      <c r="H46" t="s">
        <v>68</v>
      </c>
      <c r="I46" t="s">
        <v>80</v>
      </c>
      <c r="K46" t="s">
        <v>128</v>
      </c>
      <c r="L46" t="s">
        <v>55</v>
      </c>
      <c r="M46" t="s">
        <v>56</v>
      </c>
      <c r="O46" t="s">
        <v>65</v>
      </c>
      <c r="P46" t="s">
        <v>58</v>
      </c>
      <c r="Q46">
        <v>2</v>
      </c>
      <c r="R46" t="s">
        <v>58</v>
      </c>
      <c r="S46">
        <v>2</v>
      </c>
      <c r="T46" t="s">
        <v>58</v>
      </c>
      <c r="U46">
        <v>2</v>
      </c>
      <c r="V46" t="s">
        <v>58</v>
      </c>
      <c r="W46">
        <v>2</v>
      </c>
      <c r="X46" t="s">
        <v>59</v>
      </c>
      <c r="Y46">
        <v>0</v>
      </c>
      <c r="Z46" t="s">
        <v>59</v>
      </c>
      <c r="AA46">
        <v>0</v>
      </c>
      <c r="AB46" t="s">
        <v>60</v>
      </c>
      <c r="AC46">
        <v>1</v>
      </c>
      <c r="AD46" t="s">
        <v>58</v>
      </c>
      <c r="AE46">
        <v>2</v>
      </c>
      <c r="AF46" t="s">
        <v>58</v>
      </c>
      <c r="AG46">
        <v>2</v>
      </c>
      <c r="AH46" t="s">
        <v>59</v>
      </c>
      <c r="AI46">
        <v>0</v>
      </c>
      <c r="AJ46" t="s">
        <v>58</v>
      </c>
      <c r="AK46">
        <v>2</v>
      </c>
      <c r="AL46" t="s">
        <v>58</v>
      </c>
      <c r="AM46">
        <v>2</v>
      </c>
      <c r="AN46" t="s">
        <v>59</v>
      </c>
      <c r="AO46">
        <v>0</v>
      </c>
      <c r="AP46" t="s">
        <v>59</v>
      </c>
      <c r="AQ46">
        <v>0</v>
      </c>
      <c r="AR46" t="s">
        <v>59</v>
      </c>
      <c r="AS46">
        <v>0</v>
      </c>
      <c r="AT46" t="s">
        <v>58</v>
      </c>
      <c r="AU46">
        <v>2</v>
      </c>
      <c r="AV46">
        <f t="shared" si="0"/>
        <v>19</v>
      </c>
      <c r="AW46" t="str">
        <f>IF(Table1[[#This Row],[Pontuação final]]&lt;=2,"Nenhum", IF(Table1[[#This Row],[Pontuação final]]&lt;=12,"Leve", IF(Table1[[#This Row],[Pontuação final]]&lt;=22,"Moderado", "Grave")))</f>
        <v>Moderado</v>
      </c>
    </row>
    <row r="47" spans="1:49" x14ac:dyDescent="0.3">
      <c r="A47">
        <v>47</v>
      </c>
      <c r="B47" t="s">
        <v>49</v>
      </c>
      <c r="C47" s="1">
        <v>26</v>
      </c>
      <c r="D47" s="1">
        <v>75</v>
      </c>
      <c r="E47">
        <v>1.73</v>
      </c>
      <c r="F47" t="s">
        <v>76</v>
      </c>
      <c r="G47" t="s">
        <v>90</v>
      </c>
      <c r="H47" t="s">
        <v>68</v>
      </c>
      <c r="I47" t="s">
        <v>72</v>
      </c>
      <c r="K47" t="s">
        <v>70</v>
      </c>
      <c r="L47" t="s">
        <v>55</v>
      </c>
      <c r="M47" t="s">
        <v>64</v>
      </c>
      <c r="O47" t="s">
        <v>57</v>
      </c>
      <c r="P47" t="s">
        <v>58</v>
      </c>
      <c r="Q47">
        <v>2</v>
      </c>
      <c r="R47" t="s">
        <v>58</v>
      </c>
      <c r="S47">
        <v>2</v>
      </c>
      <c r="T47" t="s">
        <v>59</v>
      </c>
      <c r="U47">
        <v>0</v>
      </c>
      <c r="V47" t="s">
        <v>60</v>
      </c>
      <c r="W47">
        <v>1</v>
      </c>
      <c r="X47" t="s">
        <v>59</v>
      </c>
      <c r="Y47">
        <v>0</v>
      </c>
      <c r="Z47" t="s">
        <v>59</v>
      </c>
      <c r="AA47">
        <v>0</v>
      </c>
      <c r="AB47" t="s">
        <v>59</v>
      </c>
      <c r="AC47">
        <v>0</v>
      </c>
      <c r="AD47" t="s">
        <v>59</v>
      </c>
      <c r="AE47">
        <v>0</v>
      </c>
      <c r="AF47" t="s">
        <v>60</v>
      </c>
      <c r="AG47">
        <v>1</v>
      </c>
      <c r="AH47" t="s">
        <v>60</v>
      </c>
      <c r="AI47">
        <v>1</v>
      </c>
      <c r="AJ47" t="s">
        <v>60</v>
      </c>
      <c r="AK47">
        <v>1</v>
      </c>
      <c r="AL47" t="s">
        <v>58</v>
      </c>
      <c r="AM47">
        <v>2</v>
      </c>
      <c r="AN47" t="s">
        <v>59</v>
      </c>
      <c r="AO47">
        <v>0</v>
      </c>
      <c r="AP47" t="s">
        <v>59</v>
      </c>
      <c r="AQ47">
        <v>0</v>
      </c>
      <c r="AR47" t="s">
        <v>58</v>
      </c>
      <c r="AS47">
        <v>2</v>
      </c>
      <c r="AT47" t="s">
        <v>58</v>
      </c>
      <c r="AU47">
        <v>2</v>
      </c>
      <c r="AV47">
        <f t="shared" si="0"/>
        <v>14</v>
      </c>
      <c r="AW47" t="str">
        <f>IF(Table1[[#This Row],[Pontuação final]]&lt;=2,"Nenhum", IF(Table1[[#This Row],[Pontuação final]]&lt;=12,"Leve", IF(Table1[[#This Row],[Pontuação final]]&lt;=22,"Moderado", "Grave")))</f>
        <v>Moderado</v>
      </c>
    </row>
    <row r="48" spans="1:49" x14ac:dyDescent="0.3">
      <c r="A48">
        <v>48</v>
      </c>
      <c r="B48" t="s">
        <v>49</v>
      </c>
      <c r="C48" s="1">
        <v>26</v>
      </c>
      <c r="D48" s="1">
        <v>95</v>
      </c>
      <c r="E48">
        <v>1.8</v>
      </c>
      <c r="F48" t="s">
        <v>94</v>
      </c>
      <c r="G48" t="s">
        <v>67</v>
      </c>
      <c r="H48" t="s">
        <v>68</v>
      </c>
      <c r="I48" t="s">
        <v>72</v>
      </c>
      <c r="K48" t="s">
        <v>70</v>
      </c>
      <c r="L48" t="s">
        <v>55</v>
      </c>
      <c r="M48" t="s">
        <v>75</v>
      </c>
      <c r="O48" t="s">
        <v>57</v>
      </c>
      <c r="P48" t="s">
        <v>58</v>
      </c>
      <c r="Q48">
        <v>2</v>
      </c>
      <c r="R48" t="s">
        <v>59</v>
      </c>
      <c r="S48">
        <v>0</v>
      </c>
      <c r="T48" t="s">
        <v>60</v>
      </c>
      <c r="U48">
        <v>1</v>
      </c>
      <c r="V48" t="s">
        <v>58</v>
      </c>
      <c r="W48">
        <v>2</v>
      </c>
      <c r="X48" t="s">
        <v>59</v>
      </c>
      <c r="Y48">
        <v>0</v>
      </c>
      <c r="Z48" t="s">
        <v>60</v>
      </c>
      <c r="AA48">
        <v>1</v>
      </c>
      <c r="AB48" t="s">
        <v>60</v>
      </c>
      <c r="AC48">
        <v>1</v>
      </c>
      <c r="AD48" t="s">
        <v>60</v>
      </c>
      <c r="AE48">
        <v>1</v>
      </c>
      <c r="AF48" t="s">
        <v>60</v>
      </c>
      <c r="AG48">
        <v>1</v>
      </c>
      <c r="AH48" t="s">
        <v>58</v>
      </c>
      <c r="AI48">
        <v>2</v>
      </c>
      <c r="AJ48" t="s">
        <v>58</v>
      </c>
      <c r="AK48">
        <v>2</v>
      </c>
      <c r="AL48" t="s">
        <v>58</v>
      </c>
      <c r="AM48">
        <v>2</v>
      </c>
      <c r="AN48" t="s">
        <v>59</v>
      </c>
      <c r="AO48">
        <v>0</v>
      </c>
      <c r="AP48" t="s">
        <v>59</v>
      </c>
      <c r="AQ48">
        <v>0</v>
      </c>
      <c r="AR48" t="s">
        <v>60</v>
      </c>
      <c r="AS48">
        <v>1</v>
      </c>
      <c r="AT48" t="s">
        <v>58</v>
      </c>
      <c r="AU48">
        <v>2</v>
      </c>
      <c r="AV48">
        <f t="shared" si="0"/>
        <v>18</v>
      </c>
      <c r="AW48" t="str">
        <f>IF(Table1[[#This Row],[Pontuação final]]&lt;=2,"Nenhum", IF(Table1[[#This Row],[Pontuação final]]&lt;=12,"Leve", IF(Table1[[#This Row],[Pontuação final]]&lt;=22,"Moderado", "Grave")))</f>
        <v>Moderado</v>
      </c>
    </row>
    <row r="49" spans="1:49" x14ac:dyDescent="0.3">
      <c r="A49">
        <v>49</v>
      </c>
      <c r="B49" t="s">
        <v>49</v>
      </c>
      <c r="C49" s="1">
        <v>24</v>
      </c>
      <c r="D49" s="1">
        <v>78</v>
      </c>
      <c r="E49" s="1">
        <v>1.78</v>
      </c>
      <c r="F49" t="s">
        <v>50</v>
      </c>
      <c r="G49" t="s">
        <v>67</v>
      </c>
      <c r="H49" t="s">
        <v>68</v>
      </c>
      <c r="I49" t="s">
        <v>72</v>
      </c>
      <c r="K49" t="s">
        <v>70</v>
      </c>
      <c r="L49" t="s">
        <v>55</v>
      </c>
      <c r="M49" t="s">
        <v>64</v>
      </c>
      <c r="O49" t="s">
        <v>57</v>
      </c>
      <c r="P49" t="s">
        <v>60</v>
      </c>
      <c r="Q49">
        <v>1</v>
      </c>
      <c r="R49" t="s">
        <v>59</v>
      </c>
      <c r="S49">
        <v>0</v>
      </c>
      <c r="T49" t="s">
        <v>59</v>
      </c>
      <c r="U49">
        <v>0</v>
      </c>
      <c r="V49" t="s">
        <v>60</v>
      </c>
      <c r="W49">
        <v>1</v>
      </c>
      <c r="X49" t="s">
        <v>59</v>
      </c>
      <c r="Y49">
        <v>0</v>
      </c>
      <c r="Z49" t="s">
        <v>59</v>
      </c>
      <c r="AA49">
        <v>0</v>
      </c>
      <c r="AB49" t="s">
        <v>59</v>
      </c>
      <c r="AC49">
        <v>0</v>
      </c>
      <c r="AD49" t="s">
        <v>59</v>
      </c>
      <c r="AE49">
        <v>0</v>
      </c>
      <c r="AF49" t="s">
        <v>58</v>
      </c>
      <c r="AG49">
        <v>2</v>
      </c>
      <c r="AH49" t="s">
        <v>58</v>
      </c>
      <c r="AI49">
        <v>2</v>
      </c>
      <c r="AJ49" t="s">
        <v>59</v>
      </c>
      <c r="AK49">
        <v>0</v>
      </c>
      <c r="AL49" t="s">
        <v>60</v>
      </c>
      <c r="AM49">
        <v>1</v>
      </c>
      <c r="AN49" t="s">
        <v>59</v>
      </c>
      <c r="AO49">
        <v>0</v>
      </c>
      <c r="AP49" t="s">
        <v>59</v>
      </c>
      <c r="AQ49">
        <v>0</v>
      </c>
      <c r="AR49" t="s">
        <v>59</v>
      </c>
      <c r="AS49">
        <v>0</v>
      </c>
      <c r="AT49" t="s">
        <v>58</v>
      </c>
      <c r="AU49">
        <v>2</v>
      </c>
      <c r="AV49">
        <f t="shared" si="0"/>
        <v>9</v>
      </c>
      <c r="AW49" t="str">
        <f>IF(Table1[[#This Row],[Pontuação final]]&lt;=2,"Nenhum", IF(Table1[[#This Row],[Pontuação final]]&lt;=12,"Leve", IF(Table1[[#This Row],[Pontuação final]]&lt;=22,"Moderado", "Grave")))</f>
        <v>Leve</v>
      </c>
    </row>
    <row r="50" spans="1:49" x14ac:dyDescent="0.3">
      <c r="A50">
        <v>50</v>
      </c>
      <c r="B50" t="s">
        <v>49</v>
      </c>
      <c r="C50" s="1">
        <v>21</v>
      </c>
      <c r="D50" s="1">
        <v>65</v>
      </c>
      <c r="E50" s="1">
        <v>1.68</v>
      </c>
      <c r="F50" t="s">
        <v>61</v>
      </c>
      <c r="G50" t="s">
        <v>83</v>
      </c>
      <c r="H50" t="s">
        <v>52</v>
      </c>
      <c r="I50" t="s">
        <v>62</v>
      </c>
      <c r="K50" t="s">
        <v>95</v>
      </c>
      <c r="L50" t="s">
        <v>55</v>
      </c>
      <c r="M50" t="s">
        <v>75</v>
      </c>
      <c r="O50" t="s">
        <v>65</v>
      </c>
      <c r="P50" t="s">
        <v>58</v>
      </c>
      <c r="Q50">
        <v>2</v>
      </c>
      <c r="R50" t="s">
        <v>58</v>
      </c>
      <c r="S50">
        <v>2</v>
      </c>
      <c r="T50" t="s">
        <v>59</v>
      </c>
      <c r="U50">
        <v>0</v>
      </c>
      <c r="V50" t="s">
        <v>58</v>
      </c>
      <c r="W50">
        <v>2</v>
      </c>
      <c r="X50" t="s">
        <v>60</v>
      </c>
      <c r="Y50">
        <v>1</v>
      </c>
      <c r="Z50" t="s">
        <v>59</v>
      </c>
      <c r="AA50">
        <v>0</v>
      </c>
      <c r="AB50" t="s">
        <v>59</v>
      </c>
      <c r="AC50">
        <v>0</v>
      </c>
      <c r="AD50" t="s">
        <v>58</v>
      </c>
      <c r="AE50">
        <v>2</v>
      </c>
      <c r="AF50" t="s">
        <v>60</v>
      </c>
      <c r="AG50">
        <v>1</v>
      </c>
      <c r="AH50" t="s">
        <v>60</v>
      </c>
      <c r="AI50">
        <v>1</v>
      </c>
      <c r="AJ50" t="s">
        <v>58</v>
      </c>
      <c r="AK50">
        <v>2</v>
      </c>
      <c r="AL50" t="s">
        <v>58</v>
      </c>
      <c r="AM50">
        <v>2</v>
      </c>
      <c r="AN50" t="s">
        <v>60</v>
      </c>
      <c r="AO50">
        <v>1</v>
      </c>
      <c r="AP50" t="s">
        <v>60</v>
      </c>
      <c r="AQ50">
        <v>1</v>
      </c>
      <c r="AR50" t="s">
        <v>59</v>
      </c>
      <c r="AS50">
        <v>0</v>
      </c>
      <c r="AT50" t="s">
        <v>58</v>
      </c>
      <c r="AU50">
        <v>2</v>
      </c>
      <c r="AV50">
        <f t="shared" si="0"/>
        <v>19</v>
      </c>
      <c r="AW50" t="str">
        <f>IF(Table1[[#This Row],[Pontuação final]]&lt;=2,"Nenhum", IF(Table1[[#This Row],[Pontuação final]]&lt;=12,"Leve", IF(Table1[[#This Row],[Pontuação final]]&lt;=22,"Moderado", "Grave")))</f>
        <v>Moderado</v>
      </c>
    </row>
    <row r="51" spans="1:49" x14ac:dyDescent="0.3">
      <c r="A51">
        <v>51</v>
      </c>
      <c r="B51" t="s">
        <v>66</v>
      </c>
      <c r="C51" s="1">
        <v>23</v>
      </c>
      <c r="D51" s="1">
        <v>64</v>
      </c>
      <c r="E51" s="1">
        <v>1.59</v>
      </c>
      <c r="F51" t="s">
        <v>61</v>
      </c>
      <c r="G51" t="s">
        <v>71</v>
      </c>
      <c r="H51" t="s">
        <v>68</v>
      </c>
      <c r="I51" t="s">
        <v>72</v>
      </c>
      <c r="K51" t="s">
        <v>70</v>
      </c>
      <c r="L51" t="s">
        <v>55</v>
      </c>
      <c r="M51" t="s">
        <v>75</v>
      </c>
      <c r="O51" t="s">
        <v>82</v>
      </c>
      <c r="P51" t="s">
        <v>58</v>
      </c>
      <c r="Q51">
        <v>2</v>
      </c>
      <c r="R51" t="s">
        <v>60</v>
      </c>
      <c r="S51">
        <v>1</v>
      </c>
      <c r="T51" t="s">
        <v>60</v>
      </c>
      <c r="U51">
        <v>1</v>
      </c>
      <c r="V51" t="s">
        <v>58</v>
      </c>
      <c r="W51">
        <v>2</v>
      </c>
      <c r="X51" t="s">
        <v>60</v>
      </c>
      <c r="Y51">
        <v>1</v>
      </c>
      <c r="Z51" t="s">
        <v>60</v>
      </c>
      <c r="AA51">
        <v>1</v>
      </c>
      <c r="AB51" t="s">
        <v>60</v>
      </c>
      <c r="AC51">
        <v>1</v>
      </c>
      <c r="AD51" t="s">
        <v>59</v>
      </c>
      <c r="AE51">
        <v>0</v>
      </c>
      <c r="AF51" t="s">
        <v>58</v>
      </c>
      <c r="AG51">
        <v>2</v>
      </c>
      <c r="AH51" t="s">
        <v>58</v>
      </c>
      <c r="AI51">
        <v>2</v>
      </c>
      <c r="AJ51" t="s">
        <v>58</v>
      </c>
      <c r="AK51">
        <v>2</v>
      </c>
      <c r="AL51" t="s">
        <v>60</v>
      </c>
      <c r="AM51">
        <v>1</v>
      </c>
      <c r="AN51" t="s">
        <v>60</v>
      </c>
      <c r="AO51">
        <v>1</v>
      </c>
      <c r="AP51" t="s">
        <v>60</v>
      </c>
      <c r="AQ51">
        <v>1</v>
      </c>
      <c r="AR51" t="s">
        <v>60</v>
      </c>
      <c r="AS51">
        <v>1</v>
      </c>
      <c r="AT51" t="s">
        <v>60</v>
      </c>
      <c r="AU51">
        <v>1</v>
      </c>
      <c r="AV51">
        <f t="shared" si="0"/>
        <v>20</v>
      </c>
      <c r="AW51" t="str">
        <f>IF(Table1[[#This Row],[Pontuação final]]&lt;=2,"Nenhum", IF(Table1[[#This Row],[Pontuação final]]&lt;=12,"Leve", IF(Table1[[#This Row],[Pontuação final]]&lt;=22,"Moderado", "Grave")))</f>
        <v>Moderado</v>
      </c>
    </row>
    <row r="52" spans="1:49" x14ac:dyDescent="0.3">
      <c r="A52">
        <v>52</v>
      </c>
      <c r="B52" t="s">
        <v>66</v>
      </c>
      <c r="C52" s="1">
        <v>20</v>
      </c>
      <c r="D52" s="1">
        <v>64</v>
      </c>
      <c r="E52">
        <v>1.58</v>
      </c>
      <c r="F52" t="s">
        <v>61</v>
      </c>
      <c r="G52" t="s">
        <v>77</v>
      </c>
      <c r="H52" t="s">
        <v>52</v>
      </c>
      <c r="I52" t="s">
        <v>62</v>
      </c>
      <c r="J52" t="s">
        <v>129</v>
      </c>
      <c r="K52" t="s">
        <v>130</v>
      </c>
      <c r="L52" t="s">
        <v>131</v>
      </c>
      <c r="M52" t="s">
        <v>64</v>
      </c>
      <c r="O52" t="s">
        <v>57</v>
      </c>
      <c r="P52" t="s">
        <v>60</v>
      </c>
      <c r="Q52">
        <v>1</v>
      </c>
      <c r="R52" t="s">
        <v>58</v>
      </c>
      <c r="S52">
        <v>2</v>
      </c>
      <c r="T52" t="s">
        <v>59</v>
      </c>
      <c r="U52">
        <v>0</v>
      </c>
      <c r="V52" t="s">
        <v>58</v>
      </c>
      <c r="W52">
        <v>2</v>
      </c>
      <c r="X52" t="s">
        <v>59</v>
      </c>
      <c r="Y52">
        <v>0</v>
      </c>
      <c r="Z52" t="s">
        <v>59</v>
      </c>
      <c r="AA52">
        <v>0</v>
      </c>
      <c r="AB52" t="s">
        <v>58</v>
      </c>
      <c r="AC52">
        <v>2</v>
      </c>
      <c r="AD52" t="s">
        <v>58</v>
      </c>
      <c r="AE52">
        <v>2</v>
      </c>
      <c r="AF52" t="s">
        <v>60</v>
      </c>
      <c r="AG52">
        <v>1</v>
      </c>
      <c r="AH52" t="s">
        <v>58</v>
      </c>
      <c r="AI52">
        <v>2</v>
      </c>
      <c r="AJ52" t="s">
        <v>59</v>
      </c>
      <c r="AK52">
        <v>0</v>
      </c>
      <c r="AL52" t="s">
        <v>58</v>
      </c>
      <c r="AM52">
        <v>2</v>
      </c>
      <c r="AN52" t="s">
        <v>60</v>
      </c>
      <c r="AO52">
        <v>1</v>
      </c>
      <c r="AP52" t="s">
        <v>60</v>
      </c>
      <c r="AQ52">
        <v>1</v>
      </c>
      <c r="AR52" t="s">
        <v>58</v>
      </c>
      <c r="AS52">
        <v>2</v>
      </c>
      <c r="AT52" t="s">
        <v>58</v>
      </c>
      <c r="AU52">
        <v>2</v>
      </c>
      <c r="AV52">
        <f t="shared" si="0"/>
        <v>20</v>
      </c>
      <c r="AW52" t="str">
        <f>IF(Table1[[#This Row],[Pontuação final]]&lt;=2,"Nenhum", IF(Table1[[#This Row],[Pontuação final]]&lt;=12,"Leve", IF(Table1[[#This Row],[Pontuação final]]&lt;=22,"Moderado", "Grave")))</f>
        <v>Moderado</v>
      </c>
    </row>
    <row r="53" spans="1:49" x14ac:dyDescent="0.3">
      <c r="A53">
        <v>53</v>
      </c>
      <c r="B53" t="s">
        <v>49</v>
      </c>
      <c r="C53" s="1">
        <v>25</v>
      </c>
      <c r="D53" s="1">
        <v>84</v>
      </c>
      <c r="E53">
        <v>1.85</v>
      </c>
      <c r="F53" t="s">
        <v>111</v>
      </c>
      <c r="G53" t="s">
        <v>90</v>
      </c>
      <c r="H53" t="s">
        <v>68</v>
      </c>
      <c r="I53" t="s">
        <v>81</v>
      </c>
      <c r="K53" t="s">
        <v>132</v>
      </c>
      <c r="L53" t="s">
        <v>55</v>
      </c>
      <c r="M53" t="s">
        <v>75</v>
      </c>
      <c r="O53" t="s">
        <v>57</v>
      </c>
      <c r="P53" t="s">
        <v>58</v>
      </c>
      <c r="Q53">
        <v>2</v>
      </c>
      <c r="R53" t="s">
        <v>59</v>
      </c>
      <c r="S53">
        <v>0</v>
      </c>
      <c r="T53" t="s">
        <v>58</v>
      </c>
      <c r="U53">
        <v>2</v>
      </c>
      <c r="V53" t="s">
        <v>58</v>
      </c>
      <c r="W53">
        <v>2</v>
      </c>
      <c r="X53" t="s">
        <v>58</v>
      </c>
      <c r="Y53">
        <v>2</v>
      </c>
      <c r="Z53" t="s">
        <v>60</v>
      </c>
      <c r="AA53">
        <v>1</v>
      </c>
      <c r="AB53" t="s">
        <v>58</v>
      </c>
      <c r="AC53">
        <v>2</v>
      </c>
      <c r="AD53" t="s">
        <v>58</v>
      </c>
      <c r="AE53">
        <v>2</v>
      </c>
      <c r="AF53" t="s">
        <v>60</v>
      </c>
      <c r="AG53">
        <v>1</v>
      </c>
      <c r="AH53" t="s">
        <v>58</v>
      </c>
      <c r="AI53">
        <v>2</v>
      </c>
      <c r="AJ53" t="s">
        <v>58</v>
      </c>
      <c r="AK53">
        <v>2</v>
      </c>
      <c r="AL53" t="s">
        <v>58</v>
      </c>
      <c r="AM53">
        <v>2</v>
      </c>
      <c r="AN53" t="s">
        <v>59</v>
      </c>
      <c r="AO53">
        <v>0</v>
      </c>
      <c r="AP53" t="s">
        <v>59</v>
      </c>
      <c r="AQ53">
        <v>0</v>
      </c>
      <c r="AR53" t="s">
        <v>58</v>
      </c>
      <c r="AS53">
        <v>2</v>
      </c>
      <c r="AT53" t="s">
        <v>58</v>
      </c>
      <c r="AU53">
        <v>2</v>
      </c>
      <c r="AV53">
        <f t="shared" si="0"/>
        <v>24</v>
      </c>
      <c r="AW53" t="str">
        <f>IF(Table1[[#This Row],[Pontuação final]]&lt;=2,"Nenhum", IF(Table1[[#This Row],[Pontuação final]]&lt;=12,"Leve", IF(Table1[[#This Row],[Pontuação final]]&lt;=22,"Moderado", "Grave")))</f>
        <v>Grave</v>
      </c>
    </row>
    <row r="54" spans="1:49" x14ac:dyDescent="0.3">
      <c r="A54">
        <v>54</v>
      </c>
      <c r="B54" t="s">
        <v>66</v>
      </c>
      <c r="C54" s="1">
        <v>19</v>
      </c>
      <c r="D54" s="1">
        <v>62</v>
      </c>
      <c r="E54" s="1">
        <v>1.65</v>
      </c>
      <c r="F54" t="s">
        <v>104</v>
      </c>
      <c r="G54" t="s">
        <v>51</v>
      </c>
      <c r="H54" t="s">
        <v>52</v>
      </c>
      <c r="I54" t="s">
        <v>133</v>
      </c>
      <c r="J54" t="s">
        <v>134</v>
      </c>
      <c r="K54" t="s">
        <v>135</v>
      </c>
      <c r="L54" t="s">
        <v>55</v>
      </c>
      <c r="M54" t="s">
        <v>75</v>
      </c>
      <c r="O54" t="s">
        <v>65</v>
      </c>
      <c r="P54" t="s">
        <v>58</v>
      </c>
      <c r="Q54">
        <v>2</v>
      </c>
      <c r="R54" t="s">
        <v>59</v>
      </c>
      <c r="S54">
        <v>0</v>
      </c>
      <c r="T54" t="s">
        <v>58</v>
      </c>
      <c r="U54">
        <v>2</v>
      </c>
      <c r="V54" t="s">
        <v>58</v>
      </c>
      <c r="W54">
        <v>2</v>
      </c>
      <c r="X54" t="s">
        <v>60</v>
      </c>
      <c r="Y54">
        <v>1</v>
      </c>
      <c r="Z54" t="s">
        <v>60</v>
      </c>
      <c r="AA54">
        <v>1</v>
      </c>
      <c r="AB54" t="s">
        <v>59</v>
      </c>
      <c r="AC54">
        <v>0</v>
      </c>
      <c r="AD54" t="s">
        <v>60</v>
      </c>
      <c r="AE54">
        <v>1</v>
      </c>
      <c r="AF54" t="s">
        <v>58</v>
      </c>
      <c r="AG54">
        <v>2</v>
      </c>
      <c r="AH54" t="s">
        <v>60</v>
      </c>
      <c r="AI54">
        <v>1</v>
      </c>
      <c r="AJ54" t="s">
        <v>58</v>
      </c>
      <c r="AK54">
        <v>2</v>
      </c>
      <c r="AL54" t="s">
        <v>58</v>
      </c>
      <c r="AM54">
        <v>2</v>
      </c>
      <c r="AN54" t="s">
        <v>60</v>
      </c>
      <c r="AO54">
        <v>1</v>
      </c>
      <c r="AP54" t="s">
        <v>59</v>
      </c>
      <c r="AQ54">
        <v>0</v>
      </c>
      <c r="AR54" t="s">
        <v>60</v>
      </c>
      <c r="AS54">
        <v>1</v>
      </c>
      <c r="AT54" t="s">
        <v>58</v>
      </c>
      <c r="AU54">
        <v>2</v>
      </c>
      <c r="AV54">
        <f t="shared" si="0"/>
        <v>20</v>
      </c>
      <c r="AW54" t="str">
        <f>IF(Table1[[#This Row],[Pontuação final]]&lt;=2,"Nenhum", IF(Table1[[#This Row],[Pontuação final]]&lt;=12,"Leve", IF(Table1[[#This Row],[Pontuação final]]&lt;=22,"Moderado", "Grave")))</f>
        <v>Moderado</v>
      </c>
    </row>
    <row r="55" spans="1:49" x14ac:dyDescent="0.3">
      <c r="A55">
        <v>55</v>
      </c>
      <c r="B55" t="s">
        <v>49</v>
      </c>
      <c r="C55" s="1">
        <v>18</v>
      </c>
      <c r="D55">
        <v>73</v>
      </c>
      <c r="E55" s="1">
        <v>1.73</v>
      </c>
      <c r="F55" t="s">
        <v>50</v>
      </c>
      <c r="G55" t="s">
        <v>79</v>
      </c>
      <c r="H55" t="s">
        <v>68</v>
      </c>
      <c r="I55" t="s">
        <v>72</v>
      </c>
      <c r="K55" t="s">
        <v>74</v>
      </c>
      <c r="L55" t="s">
        <v>74</v>
      </c>
      <c r="M55" t="s">
        <v>56</v>
      </c>
      <c r="O55" t="s">
        <v>82</v>
      </c>
      <c r="P55" t="s">
        <v>58</v>
      </c>
      <c r="Q55">
        <v>2</v>
      </c>
      <c r="R55" t="s">
        <v>60</v>
      </c>
      <c r="S55">
        <v>1</v>
      </c>
      <c r="T55" t="s">
        <v>58</v>
      </c>
      <c r="U55">
        <v>2</v>
      </c>
      <c r="V55" t="s">
        <v>58</v>
      </c>
      <c r="W55">
        <v>2</v>
      </c>
      <c r="X55" t="s">
        <v>59</v>
      </c>
      <c r="Y55">
        <v>0</v>
      </c>
      <c r="Z55" t="s">
        <v>59</v>
      </c>
      <c r="AA55">
        <v>0</v>
      </c>
      <c r="AB55" t="s">
        <v>59</v>
      </c>
      <c r="AC55">
        <v>0</v>
      </c>
      <c r="AD55" t="s">
        <v>58</v>
      </c>
      <c r="AE55">
        <v>2</v>
      </c>
      <c r="AF55" t="s">
        <v>60</v>
      </c>
      <c r="AG55">
        <v>1</v>
      </c>
      <c r="AH55" t="s">
        <v>60</v>
      </c>
      <c r="AI55">
        <v>1</v>
      </c>
      <c r="AJ55" t="s">
        <v>59</v>
      </c>
      <c r="AK55">
        <v>0</v>
      </c>
      <c r="AL55" t="s">
        <v>58</v>
      </c>
      <c r="AM55">
        <v>2</v>
      </c>
      <c r="AN55" t="s">
        <v>60</v>
      </c>
      <c r="AO55">
        <v>1</v>
      </c>
      <c r="AP55" t="s">
        <v>59</v>
      </c>
      <c r="AQ55">
        <v>0</v>
      </c>
      <c r="AR55" t="s">
        <v>59</v>
      </c>
      <c r="AS55">
        <v>0</v>
      </c>
      <c r="AT55" t="s">
        <v>58</v>
      </c>
      <c r="AU55">
        <v>2</v>
      </c>
      <c r="AV55">
        <f t="shared" si="0"/>
        <v>16</v>
      </c>
      <c r="AW55" t="str">
        <f>IF(Table1[[#This Row],[Pontuação final]]&lt;=2,"Nenhum", IF(Table1[[#This Row],[Pontuação final]]&lt;=12,"Leve", IF(Table1[[#This Row],[Pontuação final]]&lt;=22,"Moderado", "Grave")))</f>
        <v>Moderado</v>
      </c>
    </row>
    <row r="56" spans="1:49" x14ac:dyDescent="0.3">
      <c r="A56">
        <v>56</v>
      </c>
      <c r="B56" t="s">
        <v>49</v>
      </c>
      <c r="C56" s="1">
        <v>18</v>
      </c>
      <c r="D56" s="1">
        <v>76</v>
      </c>
      <c r="E56" s="1">
        <v>1.86</v>
      </c>
      <c r="F56" t="s">
        <v>94</v>
      </c>
      <c r="G56" t="s">
        <v>51</v>
      </c>
      <c r="H56" t="s">
        <v>52</v>
      </c>
      <c r="I56" t="s">
        <v>80</v>
      </c>
      <c r="K56" t="s">
        <v>136</v>
      </c>
      <c r="L56" t="s">
        <v>55</v>
      </c>
      <c r="M56" t="s">
        <v>75</v>
      </c>
      <c r="O56" t="s">
        <v>65</v>
      </c>
      <c r="P56" t="s">
        <v>58</v>
      </c>
      <c r="Q56">
        <v>2</v>
      </c>
      <c r="R56" t="s">
        <v>59</v>
      </c>
      <c r="S56">
        <v>0</v>
      </c>
      <c r="T56" t="s">
        <v>59</v>
      </c>
      <c r="U56">
        <v>0</v>
      </c>
      <c r="V56" t="s">
        <v>58</v>
      </c>
      <c r="W56">
        <v>2</v>
      </c>
      <c r="X56" t="s">
        <v>59</v>
      </c>
      <c r="Y56">
        <v>0</v>
      </c>
      <c r="Z56" t="s">
        <v>59</v>
      </c>
      <c r="AA56">
        <v>0</v>
      </c>
      <c r="AB56" t="s">
        <v>59</v>
      </c>
      <c r="AC56">
        <v>0</v>
      </c>
      <c r="AD56" t="s">
        <v>59</v>
      </c>
      <c r="AE56">
        <v>0</v>
      </c>
      <c r="AF56" t="s">
        <v>60</v>
      </c>
      <c r="AG56">
        <v>1</v>
      </c>
      <c r="AH56" t="s">
        <v>58</v>
      </c>
      <c r="AI56">
        <v>2</v>
      </c>
      <c r="AJ56" t="s">
        <v>58</v>
      </c>
      <c r="AK56">
        <v>2</v>
      </c>
      <c r="AL56" t="s">
        <v>58</v>
      </c>
      <c r="AM56">
        <v>2</v>
      </c>
      <c r="AN56" t="s">
        <v>59</v>
      </c>
      <c r="AO56">
        <v>0</v>
      </c>
      <c r="AP56" t="s">
        <v>59</v>
      </c>
      <c r="AQ56">
        <v>0</v>
      </c>
      <c r="AR56" t="s">
        <v>59</v>
      </c>
      <c r="AS56">
        <v>0</v>
      </c>
      <c r="AT56" t="s">
        <v>60</v>
      </c>
      <c r="AU56">
        <v>1</v>
      </c>
      <c r="AV56">
        <f t="shared" si="0"/>
        <v>12</v>
      </c>
      <c r="AW56" t="str">
        <f>IF(Table1[[#This Row],[Pontuação final]]&lt;=2,"Nenhum", IF(Table1[[#This Row],[Pontuação final]]&lt;=12,"Leve", IF(Table1[[#This Row],[Pontuação final]]&lt;=22,"Moderado", "Grave")))</f>
        <v>Leve</v>
      </c>
    </row>
    <row r="57" spans="1:49" x14ac:dyDescent="0.3">
      <c r="A57">
        <v>57</v>
      </c>
      <c r="B57" t="s">
        <v>66</v>
      </c>
      <c r="C57" s="1">
        <v>19</v>
      </c>
      <c r="D57" s="1">
        <v>70</v>
      </c>
      <c r="E57">
        <v>1.66</v>
      </c>
      <c r="F57" t="s">
        <v>61</v>
      </c>
      <c r="G57" t="s">
        <v>85</v>
      </c>
      <c r="H57" t="s">
        <v>68</v>
      </c>
      <c r="I57" t="s">
        <v>80</v>
      </c>
      <c r="K57" t="s">
        <v>89</v>
      </c>
      <c r="L57" t="s">
        <v>55</v>
      </c>
      <c r="M57" t="s">
        <v>64</v>
      </c>
      <c r="O57" t="s">
        <v>65</v>
      </c>
      <c r="P57" t="s">
        <v>58</v>
      </c>
      <c r="Q57">
        <v>2</v>
      </c>
      <c r="R57" t="s">
        <v>60</v>
      </c>
      <c r="S57">
        <v>1</v>
      </c>
      <c r="T57" t="s">
        <v>59</v>
      </c>
      <c r="U57">
        <v>0</v>
      </c>
      <c r="V57" t="s">
        <v>58</v>
      </c>
      <c r="W57">
        <v>2</v>
      </c>
      <c r="X57" t="s">
        <v>60</v>
      </c>
      <c r="Y57">
        <v>1</v>
      </c>
      <c r="Z57" t="s">
        <v>60</v>
      </c>
      <c r="AA57">
        <v>1</v>
      </c>
      <c r="AB57" t="s">
        <v>58</v>
      </c>
      <c r="AC57">
        <v>2</v>
      </c>
      <c r="AD57" t="s">
        <v>60</v>
      </c>
      <c r="AE57">
        <v>1</v>
      </c>
      <c r="AF57" t="s">
        <v>58</v>
      </c>
      <c r="AG57">
        <v>2</v>
      </c>
      <c r="AH57" t="s">
        <v>58</v>
      </c>
      <c r="AI57">
        <v>2</v>
      </c>
      <c r="AJ57" t="s">
        <v>58</v>
      </c>
      <c r="AK57">
        <v>2</v>
      </c>
      <c r="AL57" t="s">
        <v>58</v>
      </c>
      <c r="AM57">
        <v>2</v>
      </c>
      <c r="AN57" t="s">
        <v>60</v>
      </c>
      <c r="AO57">
        <v>1</v>
      </c>
      <c r="AP57" t="s">
        <v>58</v>
      </c>
      <c r="AQ57">
        <v>2</v>
      </c>
      <c r="AR57" t="s">
        <v>59</v>
      </c>
      <c r="AS57">
        <v>0</v>
      </c>
      <c r="AT57" t="s">
        <v>58</v>
      </c>
      <c r="AU57">
        <v>2</v>
      </c>
      <c r="AV57">
        <f t="shared" si="0"/>
        <v>23</v>
      </c>
      <c r="AW57" t="str">
        <f>IF(Table1[[#This Row],[Pontuação final]]&lt;=2,"Nenhum", IF(Table1[[#This Row],[Pontuação final]]&lt;=12,"Leve", IF(Table1[[#This Row],[Pontuação final]]&lt;=22,"Moderado", "Grave")))</f>
        <v>Grave</v>
      </c>
    </row>
    <row r="58" spans="1:49" x14ac:dyDescent="0.3">
      <c r="A58">
        <v>58</v>
      </c>
      <c r="B58" t="s">
        <v>49</v>
      </c>
      <c r="C58" s="1">
        <v>17</v>
      </c>
      <c r="D58" s="1">
        <v>103</v>
      </c>
      <c r="E58">
        <v>1.84</v>
      </c>
      <c r="F58" t="s">
        <v>50</v>
      </c>
      <c r="G58" t="s">
        <v>79</v>
      </c>
      <c r="H58" t="s">
        <v>52</v>
      </c>
      <c r="I58" t="s">
        <v>62</v>
      </c>
      <c r="K58" t="s">
        <v>137</v>
      </c>
      <c r="L58" t="s">
        <v>74</v>
      </c>
      <c r="M58" t="s">
        <v>75</v>
      </c>
      <c r="O58" t="s">
        <v>57</v>
      </c>
      <c r="P58" t="s">
        <v>58</v>
      </c>
      <c r="Q58">
        <v>2</v>
      </c>
      <c r="R58" t="s">
        <v>59</v>
      </c>
      <c r="S58">
        <v>0</v>
      </c>
      <c r="T58" t="s">
        <v>59</v>
      </c>
      <c r="U58">
        <v>0</v>
      </c>
      <c r="V58" t="s">
        <v>58</v>
      </c>
      <c r="W58">
        <v>2</v>
      </c>
      <c r="X58" t="s">
        <v>60</v>
      </c>
      <c r="Y58">
        <v>1</v>
      </c>
      <c r="Z58" t="s">
        <v>59</v>
      </c>
      <c r="AA58">
        <v>0</v>
      </c>
      <c r="AB58" t="s">
        <v>59</v>
      </c>
      <c r="AC58">
        <v>0</v>
      </c>
      <c r="AD58" t="s">
        <v>59</v>
      </c>
      <c r="AE58">
        <v>0</v>
      </c>
      <c r="AF58" t="s">
        <v>60</v>
      </c>
      <c r="AG58">
        <v>1</v>
      </c>
      <c r="AH58" t="s">
        <v>60</v>
      </c>
      <c r="AI58">
        <v>1</v>
      </c>
      <c r="AJ58" t="s">
        <v>60</v>
      </c>
      <c r="AK58">
        <v>1</v>
      </c>
      <c r="AL58" t="s">
        <v>58</v>
      </c>
      <c r="AM58">
        <v>2</v>
      </c>
      <c r="AN58" t="s">
        <v>60</v>
      </c>
      <c r="AO58">
        <v>1</v>
      </c>
      <c r="AP58" t="s">
        <v>59</v>
      </c>
      <c r="AQ58">
        <v>0</v>
      </c>
      <c r="AR58" t="s">
        <v>59</v>
      </c>
      <c r="AS58">
        <v>0</v>
      </c>
      <c r="AT58" t="s">
        <v>58</v>
      </c>
      <c r="AU58">
        <v>2</v>
      </c>
      <c r="AV58">
        <f t="shared" si="0"/>
        <v>13</v>
      </c>
      <c r="AW58" t="str">
        <f>IF(Table1[[#This Row],[Pontuação final]]&lt;=2,"Nenhum", IF(Table1[[#This Row],[Pontuação final]]&lt;=12,"Leve", IF(Table1[[#This Row],[Pontuação final]]&lt;=22,"Moderado", "Grave")))</f>
        <v>Moderado</v>
      </c>
    </row>
    <row r="59" spans="1:49" x14ac:dyDescent="0.3">
      <c r="A59">
        <v>59</v>
      </c>
      <c r="B59" t="s">
        <v>49</v>
      </c>
      <c r="C59" s="1">
        <v>20</v>
      </c>
      <c r="D59" s="1">
        <v>60</v>
      </c>
      <c r="E59" s="1">
        <v>1.8</v>
      </c>
      <c r="F59" t="s">
        <v>61</v>
      </c>
      <c r="G59" t="s">
        <v>79</v>
      </c>
      <c r="H59" t="s">
        <v>68</v>
      </c>
      <c r="I59" t="s">
        <v>62</v>
      </c>
      <c r="K59" t="s">
        <v>138</v>
      </c>
      <c r="L59" t="s">
        <v>55</v>
      </c>
      <c r="M59" t="s">
        <v>75</v>
      </c>
      <c r="O59" t="s">
        <v>57</v>
      </c>
      <c r="P59" t="s">
        <v>58</v>
      </c>
      <c r="Q59">
        <v>2</v>
      </c>
      <c r="R59" t="s">
        <v>59</v>
      </c>
      <c r="S59">
        <v>0</v>
      </c>
      <c r="T59" t="s">
        <v>59</v>
      </c>
      <c r="U59">
        <v>0</v>
      </c>
      <c r="V59" t="s">
        <v>58</v>
      </c>
      <c r="W59">
        <v>2</v>
      </c>
      <c r="X59" t="s">
        <v>60</v>
      </c>
      <c r="Y59">
        <v>1</v>
      </c>
      <c r="Z59" t="s">
        <v>60</v>
      </c>
      <c r="AA59">
        <v>1</v>
      </c>
      <c r="AB59" t="s">
        <v>59</v>
      </c>
      <c r="AC59">
        <v>0</v>
      </c>
      <c r="AD59" t="s">
        <v>59</v>
      </c>
      <c r="AE59">
        <v>0</v>
      </c>
      <c r="AF59" t="s">
        <v>59</v>
      </c>
      <c r="AG59">
        <v>0</v>
      </c>
      <c r="AH59" t="s">
        <v>58</v>
      </c>
      <c r="AI59">
        <v>2</v>
      </c>
      <c r="AJ59" t="s">
        <v>58</v>
      </c>
      <c r="AK59">
        <v>2</v>
      </c>
      <c r="AL59" t="s">
        <v>60</v>
      </c>
      <c r="AM59">
        <v>1</v>
      </c>
      <c r="AN59" t="s">
        <v>59</v>
      </c>
      <c r="AO59">
        <v>0</v>
      </c>
      <c r="AP59" t="s">
        <v>60</v>
      </c>
      <c r="AQ59">
        <v>1</v>
      </c>
      <c r="AR59" t="s">
        <v>59</v>
      </c>
      <c r="AS59">
        <v>0</v>
      </c>
      <c r="AT59" t="s">
        <v>60</v>
      </c>
      <c r="AU59">
        <v>1</v>
      </c>
      <c r="AV59">
        <f t="shared" si="0"/>
        <v>13</v>
      </c>
      <c r="AW59" t="str">
        <f>IF(Table1[[#This Row],[Pontuação final]]&lt;=2,"Nenhum", IF(Table1[[#This Row],[Pontuação final]]&lt;=12,"Leve", IF(Table1[[#This Row],[Pontuação final]]&lt;=22,"Moderado", "Grave")))</f>
        <v>Moderado</v>
      </c>
    </row>
    <row r="60" spans="1:49" x14ac:dyDescent="0.3">
      <c r="A60">
        <v>60</v>
      </c>
      <c r="B60" t="s">
        <v>66</v>
      </c>
      <c r="C60" s="1">
        <v>23</v>
      </c>
      <c r="D60" s="1">
        <v>46</v>
      </c>
      <c r="E60" s="1">
        <v>1.52</v>
      </c>
      <c r="F60" t="s">
        <v>94</v>
      </c>
      <c r="G60" t="s">
        <v>105</v>
      </c>
      <c r="H60" t="s">
        <v>52</v>
      </c>
      <c r="I60" t="s">
        <v>62</v>
      </c>
      <c r="J60" t="s">
        <v>139</v>
      </c>
      <c r="K60" t="s">
        <v>140</v>
      </c>
      <c r="L60" t="s">
        <v>74</v>
      </c>
      <c r="M60" t="s">
        <v>75</v>
      </c>
      <c r="O60" t="s">
        <v>65</v>
      </c>
      <c r="P60" t="s">
        <v>58</v>
      </c>
      <c r="Q60">
        <v>2</v>
      </c>
      <c r="R60" t="s">
        <v>59</v>
      </c>
      <c r="S60">
        <v>0</v>
      </c>
      <c r="T60" t="s">
        <v>60</v>
      </c>
      <c r="U60">
        <v>1</v>
      </c>
      <c r="V60" t="s">
        <v>58</v>
      </c>
      <c r="W60">
        <v>2</v>
      </c>
      <c r="X60" t="s">
        <v>60</v>
      </c>
      <c r="Y60">
        <v>1</v>
      </c>
      <c r="Z60" t="s">
        <v>60</v>
      </c>
      <c r="AA60">
        <v>1</v>
      </c>
      <c r="AB60" t="s">
        <v>59</v>
      </c>
      <c r="AC60">
        <v>0</v>
      </c>
      <c r="AD60" t="s">
        <v>58</v>
      </c>
      <c r="AE60">
        <v>2</v>
      </c>
      <c r="AF60" t="s">
        <v>60</v>
      </c>
      <c r="AG60">
        <v>1</v>
      </c>
      <c r="AH60" t="s">
        <v>60</v>
      </c>
      <c r="AI60">
        <v>1</v>
      </c>
      <c r="AJ60" t="s">
        <v>58</v>
      </c>
      <c r="AK60">
        <v>2</v>
      </c>
      <c r="AL60" t="s">
        <v>60</v>
      </c>
      <c r="AM60">
        <v>1</v>
      </c>
      <c r="AN60" t="s">
        <v>59</v>
      </c>
      <c r="AO60">
        <v>0</v>
      </c>
      <c r="AP60" t="s">
        <v>59</v>
      </c>
      <c r="AQ60">
        <v>0</v>
      </c>
      <c r="AR60" t="s">
        <v>59</v>
      </c>
      <c r="AS60">
        <v>0</v>
      </c>
      <c r="AT60" t="s">
        <v>60</v>
      </c>
      <c r="AU60">
        <v>1</v>
      </c>
      <c r="AV60">
        <f t="shared" si="0"/>
        <v>15</v>
      </c>
      <c r="AW60" t="str">
        <f>IF(Table1[[#This Row],[Pontuação final]]&lt;=2,"Nenhum", IF(Table1[[#This Row],[Pontuação final]]&lt;=12,"Leve", IF(Table1[[#This Row],[Pontuação final]]&lt;=22,"Moderado", "Grave")))</f>
        <v>Moderado</v>
      </c>
    </row>
    <row r="61" spans="1:49" x14ac:dyDescent="0.3">
      <c r="A61">
        <v>61</v>
      </c>
      <c r="B61" t="s">
        <v>49</v>
      </c>
      <c r="C61" s="1">
        <v>21</v>
      </c>
      <c r="D61" s="1">
        <v>57</v>
      </c>
      <c r="E61">
        <v>1.65</v>
      </c>
      <c r="F61" t="s">
        <v>50</v>
      </c>
      <c r="G61" t="s">
        <v>105</v>
      </c>
      <c r="H61" t="s">
        <v>68</v>
      </c>
      <c r="I61" t="s">
        <v>80</v>
      </c>
      <c r="K61" t="s">
        <v>141</v>
      </c>
      <c r="L61" t="s">
        <v>55</v>
      </c>
      <c r="M61" t="s">
        <v>75</v>
      </c>
      <c r="O61" t="s">
        <v>57</v>
      </c>
      <c r="P61" t="s">
        <v>60</v>
      </c>
      <c r="Q61">
        <v>1</v>
      </c>
      <c r="R61" t="s">
        <v>59</v>
      </c>
      <c r="S61">
        <v>0</v>
      </c>
      <c r="T61" t="s">
        <v>59</v>
      </c>
      <c r="U61">
        <v>0</v>
      </c>
      <c r="V61" t="s">
        <v>60</v>
      </c>
      <c r="W61">
        <v>1</v>
      </c>
      <c r="X61" t="s">
        <v>60</v>
      </c>
      <c r="Y61">
        <v>1</v>
      </c>
      <c r="Z61" t="s">
        <v>59</v>
      </c>
      <c r="AA61">
        <v>0</v>
      </c>
      <c r="AB61" t="s">
        <v>59</v>
      </c>
      <c r="AC61">
        <v>0</v>
      </c>
      <c r="AD61" t="s">
        <v>59</v>
      </c>
      <c r="AE61">
        <v>0</v>
      </c>
      <c r="AF61" t="s">
        <v>60</v>
      </c>
      <c r="AG61">
        <v>1</v>
      </c>
      <c r="AH61" t="s">
        <v>59</v>
      </c>
      <c r="AI61">
        <v>0</v>
      </c>
      <c r="AJ61" t="s">
        <v>59</v>
      </c>
      <c r="AK61">
        <v>0</v>
      </c>
      <c r="AL61" t="s">
        <v>59</v>
      </c>
      <c r="AM61">
        <v>0</v>
      </c>
      <c r="AN61" t="s">
        <v>59</v>
      </c>
      <c r="AO61">
        <v>0</v>
      </c>
      <c r="AP61" t="s">
        <v>59</v>
      </c>
      <c r="AQ61">
        <v>0</v>
      </c>
      <c r="AR61" t="s">
        <v>59</v>
      </c>
      <c r="AS61">
        <v>0</v>
      </c>
      <c r="AT61" t="s">
        <v>60</v>
      </c>
      <c r="AU61">
        <v>1</v>
      </c>
      <c r="AV61">
        <f t="shared" si="0"/>
        <v>5</v>
      </c>
      <c r="AW61" t="str">
        <f>IF(Table1[[#This Row],[Pontuação final]]&lt;=2,"Nenhum", IF(Table1[[#This Row],[Pontuação final]]&lt;=12,"Leve", IF(Table1[[#This Row],[Pontuação final]]&lt;=22,"Moderado", "Grave")))</f>
        <v>Leve</v>
      </c>
    </row>
    <row r="62" spans="1:49" x14ac:dyDescent="0.3">
      <c r="A62">
        <v>62</v>
      </c>
      <c r="B62" t="s">
        <v>49</v>
      </c>
      <c r="C62" s="1">
        <v>20</v>
      </c>
      <c r="D62" s="1">
        <v>69</v>
      </c>
      <c r="E62">
        <v>1.76</v>
      </c>
      <c r="F62" t="s">
        <v>104</v>
      </c>
      <c r="G62" t="s">
        <v>79</v>
      </c>
      <c r="H62" t="s">
        <v>68</v>
      </c>
      <c r="I62" t="s">
        <v>72</v>
      </c>
      <c r="K62" t="s">
        <v>103</v>
      </c>
      <c r="L62" t="s">
        <v>55</v>
      </c>
      <c r="M62" t="s">
        <v>75</v>
      </c>
      <c r="O62" t="s">
        <v>82</v>
      </c>
      <c r="P62" t="s">
        <v>58</v>
      </c>
      <c r="Q62">
        <v>2</v>
      </c>
      <c r="R62" t="s">
        <v>58</v>
      </c>
      <c r="S62">
        <v>2</v>
      </c>
      <c r="T62" t="s">
        <v>59</v>
      </c>
      <c r="U62">
        <v>0</v>
      </c>
      <c r="V62" t="s">
        <v>58</v>
      </c>
      <c r="W62">
        <v>2</v>
      </c>
      <c r="X62" t="s">
        <v>59</v>
      </c>
      <c r="Y62">
        <v>0</v>
      </c>
      <c r="Z62" t="s">
        <v>59</v>
      </c>
      <c r="AA62">
        <v>0</v>
      </c>
      <c r="AB62" t="s">
        <v>60</v>
      </c>
      <c r="AC62">
        <v>1</v>
      </c>
      <c r="AD62" t="s">
        <v>59</v>
      </c>
      <c r="AE62">
        <v>0</v>
      </c>
      <c r="AF62" t="s">
        <v>60</v>
      </c>
      <c r="AG62">
        <v>1</v>
      </c>
      <c r="AH62" t="s">
        <v>58</v>
      </c>
      <c r="AI62">
        <v>2</v>
      </c>
      <c r="AJ62" t="s">
        <v>60</v>
      </c>
      <c r="AK62">
        <v>1</v>
      </c>
      <c r="AL62" t="s">
        <v>58</v>
      </c>
      <c r="AM62">
        <v>2</v>
      </c>
      <c r="AN62" t="s">
        <v>60</v>
      </c>
      <c r="AO62">
        <v>1</v>
      </c>
      <c r="AP62" t="s">
        <v>59</v>
      </c>
      <c r="AQ62">
        <v>0</v>
      </c>
      <c r="AR62" t="s">
        <v>60</v>
      </c>
      <c r="AS62">
        <v>1</v>
      </c>
      <c r="AT62" t="s">
        <v>58</v>
      </c>
      <c r="AU62">
        <v>2</v>
      </c>
      <c r="AV62">
        <f t="shared" si="0"/>
        <v>17</v>
      </c>
      <c r="AW62" t="str">
        <f>IF(Table1[[#This Row],[Pontuação final]]&lt;=2,"Nenhum", IF(Table1[[#This Row],[Pontuação final]]&lt;=12,"Leve", IF(Table1[[#This Row],[Pontuação final]]&lt;=22,"Moderado", "Grave")))</f>
        <v>Moderado</v>
      </c>
    </row>
    <row r="63" spans="1:49" x14ac:dyDescent="0.3">
      <c r="A63">
        <v>63</v>
      </c>
      <c r="B63" t="s">
        <v>66</v>
      </c>
      <c r="C63" s="1">
        <v>24</v>
      </c>
      <c r="D63" s="1">
        <v>72</v>
      </c>
      <c r="E63">
        <v>1.63</v>
      </c>
      <c r="F63" t="s">
        <v>94</v>
      </c>
      <c r="G63" t="s">
        <v>105</v>
      </c>
      <c r="H63" t="s">
        <v>68</v>
      </c>
      <c r="I63" t="s">
        <v>72</v>
      </c>
      <c r="K63" t="s">
        <v>70</v>
      </c>
      <c r="L63" t="s">
        <v>55</v>
      </c>
      <c r="M63" t="s">
        <v>64</v>
      </c>
      <c r="O63" t="s">
        <v>57</v>
      </c>
      <c r="P63" t="s">
        <v>58</v>
      </c>
      <c r="Q63">
        <v>2</v>
      </c>
      <c r="R63" t="s">
        <v>58</v>
      </c>
      <c r="S63">
        <v>2</v>
      </c>
      <c r="T63" t="s">
        <v>59</v>
      </c>
      <c r="U63">
        <v>0</v>
      </c>
      <c r="V63" t="s">
        <v>58</v>
      </c>
      <c r="W63">
        <v>2</v>
      </c>
      <c r="X63" t="s">
        <v>60</v>
      </c>
      <c r="Y63">
        <v>1</v>
      </c>
      <c r="Z63" t="s">
        <v>60</v>
      </c>
      <c r="AA63">
        <v>1</v>
      </c>
      <c r="AB63" t="s">
        <v>60</v>
      </c>
      <c r="AC63">
        <v>1</v>
      </c>
      <c r="AD63" t="s">
        <v>60</v>
      </c>
      <c r="AE63">
        <v>1</v>
      </c>
      <c r="AF63" t="s">
        <v>60</v>
      </c>
      <c r="AG63">
        <v>1</v>
      </c>
      <c r="AH63" t="s">
        <v>60</v>
      </c>
      <c r="AI63">
        <v>1</v>
      </c>
      <c r="AJ63" t="s">
        <v>59</v>
      </c>
      <c r="AK63">
        <v>0</v>
      </c>
      <c r="AL63" t="s">
        <v>60</v>
      </c>
      <c r="AM63">
        <v>1</v>
      </c>
      <c r="AN63" t="s">
        <v>59</v>
      </c>
      <c r="AO63">
        <v>0</v>
      </c>
      <c r="AP63" t="s">
        <v>60</v>
      </c>
      <c r="AQ63">
        <v>1</v>
      </c>
      <c r="AR63" t="s">
        <v>60</v>
      </c>
      <c r="AS63">
        <v>1</v>
      </c>
      <c r="AT63" t="s">
        <v>59</v>
      </c>
      <c r="AU63">
        <v>0</v>
      </c>
      <c r="AV63">
        <f t="shared" si="0"/>
        <v>15</v>
      </c>
      <c r="AW63" t="str">
        <f>IF(Table1[[#This Row],[Pontuação final]]&lt;=2,"Nenhum", IF(Table1[[#This Row],[Pontuação final]]&lt;=12,"Leve", IF(Table1[[#This Row],[Pontuação final]]&lt;=22,"Moderado", "Grave")))</f>
        <v>Moderado</v>
      </c>
    </row>
    <row r="64" spans="1:49" x14ac:dyDescent="0.3">
      <c r="A64">
        <v>64</v>
      </c>
      <c r="B64" t="s">
        <v>49</v>
      </c>
      <c r="C64" s="1">
        <v>19</v>
      </c>
      <c r="D64" s="1">
        <v>68</v>
      </c>
      <c r="E64">
        <v>1.76</v>
      </c>
      <c r="F64" t="s">
        <v>61</v>
      </c>
      <c r="G64" t="s">
        <v>79</v>
      </c>
      <c r="H64" t="s">
        <v>52</v>
      </c>
      <c r="I64" t="s">
        <v>62</v>
      </c>
      <c r="K64" t="s">
        <v>142</v>
      </c>
      <c r="L64" t="s">
        <v>55</v>
      </c>
      <c r="M64" t="s">
        <v>56</v>
      </c>
      <c r="O64" t="s">
        <v>57</v>
      </c>
      <c r="P64" t="s">
        <v>58</v>
      </c>
      <c r="Q64">
        <v>2</v>
      </c>
      <c r="R64" t="s">
        <v>59</v>
      </c>
      <c r="S64">
        <v>0</v>
      </c>
      <c r="T64" t="s">
        <v>58</v>
      </c>
      <c r="U64">
        <v>2</v>
      </c>
      <c r="V64" t="s">
        <v>58</v>
      </c>
      <c r="W64">
        <v>2</v>
      </c>
      <c r="X64" t="s">
        <v>59</v>
      </c>
      <c r="Y64">
        <v>0</v>
      </c>
      <c r="Z64" t="s">
        <v>59</v>
      </c>
      <c r="AA64">
        <v>0</v>
      </c>
      <c r="AB64" t="s">
        <v>59</v>
      </c>
      <c r="AC64">
        <v>0</v>
      </c>
      <c r="AD64" t="s">
        <v>59</v>
      </c>
      <c r="AE64">
        <v>0</v>
      </c>
      <c r="AF64" t="s">
        <v>59</v>
      </c>
      <c r="AG64">
        <v>0</v>
      </c>
      <c r="AH64" t="s">
        <v>60</v>
      </c>
      <c r="AI64">
        <v>1</v>
      </c>
      <c r="AJ64" t="s">
        <v>58</v>
      </c>
      <c r="AK64">
        <v>2</v>
      </c>
      <c r="AL64" t="s">
        <v>59</v>
      </c>
      <c r="AM64">
        <v>0</v>
      </c>
      <c r="AN64" t="s">
        <v>59</v>
      </c>
      <c r="AO64">
        <v>0</v>
      </c>
      <c r="AP64" t="s">
        <v>59</v>
      </c>
      <c r="AQ64">
        <v>0</v>
      </c>
      <c r="AR64" t="s">
        <v>59</v>
      </c>
      <c r="AS64">
        <v>0</v>
      </c>
      <c r="AT64" t="s">
        <v>59</v>
      </c>
      <c r="AU64">
        <v>0</v>
      </c>
      <c r="AV64">
        <f t="shared" si="0"/>
        <v>9</v>
      </c>
      <c r="AW64" t="str">
        <f>IF(Table1[[#This Row],[Pontuação final]]&lt;=2,"Nenhum", IF(Table1[[#This Row],[Pontuação final]]&lt;=12,"Leve", IF(Table1[[#This Row],[Pontuação final]]&lt;=22,"Moderado", "Grave")))</f>
        <v>Leve</v>
      </c>
    </row>
    <row r="65" spans="1:49" x14ac:dyDescent="0.3">
      <c r="A65">
        <v>65</v>
      </c>
      <c r="B65" t="s">
        <v>49</v>
      </c>
      <c r="C65" s="1">
        <v>20</v>
      </c>
      <c r="D65" s="1">
        <v>85</v>
      </c>
      <c r="E65" s="1">
        <v>1.84</v>
      </c>
      <c r="F65" t="s">
        <v>94</v>
      </c>
      <c r="G65" t="s">
        <v>77</v>
      </c>
      <c r="H65" t="s">
        <v>52</v>
      </c>
      <c r="I65" t="s">
        <v>53</v>
      </c>
      <c r="K65" t="s">
        <v>143</v>
      </c>
      <c r="L65" t="s">
        <v>55</v>
      </c>
      <c r="M65" t="s">
        <v>75</v>
      </c>
      <c r="O65" t="s">
        <v>82</v>
      </c>
      <c r="P65" t="s">
        <v>60</v>
      </c>
      <c r="Q65">
        <v>1</v>
      </c>
      <c r="R65" t="s">
        <v>60</v>
      </c>
      <c r="S65">
        <v>1</v>
      </c>
      <c r="T65" t="s">
        <v>59</v>
      </c>
      <c r="U65">
        <v>0</v>
      </c>
      <c r="V65" t="s">
        <v>60</v>
      </c>
      <c r="W65">
        <v>1</v>
      </c>
      <c r="X65" t="s">
        <v>59</v>
      </c>
      <c r="Y65">
        <v>0</v>
      </c>
      <c r="Z65" t="s">
        <v>59</v>
      </c>
      <c r="AA65">
        <v>0</v>
      </c>
      <c r="AB65" t="s">
        <v>59</v>
      </c>
      <c r="AC65">
        <v>0</v>
      </c>
      <c r="AD65" t="s">
        <v>59</v>
      </c>
      <c r="AE65">
        <v>0</v>
      </c>
      <c r="AF65" t="s">
        <v>59</v>
      </c>
      <c r="AG65">
        <v>0</v>
      </c>
      <c r="AH65" t="s">
        <v>60</v>
      </c>
      <c r="AI65">
        <v>1</v>
      </c>
      <c r="AJ65" t="s">
        <v>58</v>
      </c>
      <c r="AK65">
        <v>2</v>
      </c>
      <c r="AL65" t="s">
        <v>60</v>
      </c>
      <c r="AM65">
        <v>1</v>
      </c>
      <c r="AN65" t="s">
        <v>59</v>
      </c>
      <c r="AO65">
        <v>0</v>
      </c>
      <c r="AP65" t="s">
        <v>59</v>
      </c>
      <c r="AQ65">
        <v>0</v>
      </c>
      <c r="AR65" t="s">
        <v>59</v>
      </c>
      <c r="AS65">
        <v>0</v>
      </c>
      <c r="AT65" t="s">
        <v>60</v>
      </c>
      <c r="AU65">
        <v>1</v>
      </c>
      <c r="AV65">
        <f t="shared" si="0"/>
        <v>8</v>
      </c>
      <c r="AW65" t="str">
        <f>IF(Table1[[#This Row],[Pontuação final]]&lt;=2,"Nenhum", IF(Table1[[#This Row],[Pontuação final]]&lt;=12,"Leve", IF(Table1[[#This Row],[Pontuação final]]&lt;=22,"Moderado", "Grave")))</f>
        <v>Leve</v>
      </c>
    </row>
    <row r="66" spans="1:49" x14ac:dyDescent="0.3">
      <c r="A66">
        <v>66</v>
      </c>
      <c r="B66" t="s">
        <v>66</v>
      </c>
      <c r="C66" s="1">
        <v>20</v>
      </c>
      <c r="D66" s="1">
        <v>57</v>
      </c>
      <c r="E66">
        <v>1.7</v>
      </c>
      <c r="F66" t="s">
        <v>50</v>
      </c>
      <c r="G66" t="s">
        <v>77</v>
      </c>
      <c r="H66" t="s">
        <v>52</v>
      </c>
      <c r="I66" t="s">
        <v>53</v>
      </c>
      <c r="K66" t="s">
        <v>70</v>
      </c>
      <c r="L66" t="s">
        <v>55</v>
      </c>
      <c r="M66" t="s">
        <v>75</v>
      </c>
      <c r="O66" t="s">
        <v>65</v>
      </c>
      <c r="P66" t="s">
        <v>58</v>
      </c>
      <c r="Q66">
        <v>2</v>
      </c>
      <c r="R66" t="s">
        <v>60</v>
      </c>
      <c r="S66">
        <v>1</v>
      </c>
      <c r="T66" t="s">
        <v>60</v>
      </c>
      <c r="U66">
        <v>1</v>
      </c>
      <c r="V66" t="s">
        <v>60</v>
      </c>
      <c r="W66">
        <v>1</v>
      </c>
      <c r="X66" t="s">
        <v>60</v>
      </c>
      <c r="Y66">
        <v>1</v>
      </c>
      <c r="Z66" t="s">
        <v>60</v>
      </c>
      <c r="AA66">
        <v>1</v>
      </c>
      <c r="AB66" t="s">
        <v>60</v>
      </c>
      <c r="AC66">
        <v>1</v>
      </c>
      <c r="AD66" t="s">
        <v>60</v>
      </c>
      <c r="AE66">
        <v>1</v>
      </c>
      <c r="AF66" t="s">
        <v>60</v>
      </c>
      <c r="AG66">
        <v>1</v>
      </c>
      <c r="AH66" t="s">
        <v>59</v>
      </c>
      <c r="AI66">
        <v>0</v>
      </c>
      <c r="AJ66" t="s">
        <v>58</v>
      </c>
      <c r="AK66">
        <v>2</v>
      </c>
      <c r="AL66" t="s">
        <v>60</v>
      </c>
      <c r="AM66">
        <v>1</v>
      </c>
      <c r="AN66" t="s">
        <v>59</v>
      </c>
      <c r="AO66">
        <v>0</v>
      </c>
      <c r="AP66" t="s">
        <v>60</v>
      </c>
      <c r="AQ66">
        <v>1</v>
      </c>
      <c r="AR66" t="s">
        <v>59</v>
      </c>
      <c r="AS66">
        <v>0</v>
      </c>
      <c r="AT66" t="s">
        <v>58</v>
      </c>
      <c r="AU66">
        <v>2</v>
      </c>
      <c r="AV66">
        <f t="shared" ref="AV66:AV129" si="1">SUM(Q66,S66,U66,W66,Y66,AA66,AC66,AE66,AG66,AI66,AK66,AM66,AO66,AQ66,AS66,AU66)</f>
        <v>16</v>
      </c>
      <c r="AW66" t="str">
        <f>IF(Table1[[#This Row],[Pontuação final]]&lt;=2,"Nenhum", IF(Table1[[#This Row],[Pontuação final]]&lt;=12,"Leve", IF(Table1[[#This Row],[Pontuação final]]&lt;=22,"Moderado", "Grave")))</f>
        <v>Moderado</v>
      </c>
    </row>
    <row r="67" spans="1:49" x14ac:dyDescent="0.3">
      <c r="A67">
        <v>67</v>
      </c>
      <c r="B67" t="s">
        <v>66</v>
      </c>
      <c r="C67" s="1">
        <v>23</v>
      </c>
      <c r="D67" s="1">
        <v>102</v>
      </c>
      <c r="E67" s="1">
        <v>1.69</v>
      </c>
      <c r="F67" t="s">
        <v>61</v>
      </c>
      <c r="G67" t="s">
        <v>83</v>
      </c>
      <c r="H67" t="s">
        <v>68</v>
      </c>
      <c r="I67" t="s">
        <v>72</v>
      </c>
      <c r="K67" t="s">
        <v>70</v>
      </c>
      <c r="L67" t="s">
        <v>55</v>
      </c>
      <c r="M67" t="s">
        <v>64</v>
      </c>
      <c r="O67" t="s">
        <v>82</v>
      </c>
      <c r="P67" t="s">
        <v>58</v>
      </c>
      <c r="Q67">
        <v>2</v>
      </c>
      <c r="R67" t="s">
        <v>58</v>
      </c>
      <c r="S67">
        <v>2</v>
      </c>
      <c r="T67" t="s">
        <v>58</v>
      </c>
      <c r="U67">
        <v>2</v>
      </c>
      <c r="V67" t="s">
        <v>58</v>
      </c>
      <c r="W67">
        <v>2</v>
      </c>
      <c r="X67" t="s">
        <v>60</v>
      </c>
      <c r="Y67">
        <v>1</v>
      </c>
      <c r="Z67" t="s">
        <v>60</v>
      </c>
      <c r="AA67">
        <v>1</v>
      </c>
      <c r="AB67" t="s">
        <v>60</v>
      </c>
      <c r="AC67">
        <v>1</v>
      </c>
      <c r="AD67" t="s">
        <v>59</v>
      </c>
      <c r="AE67">
        <v>0</v>
      </c>
      <c r="AF67" t="s">
        <v>58</v>
      </c>
      <c r="AG67">
        <v>2</v>
      </c>
      <c r="AH67" t="s">
        <v>58</v>
      </c>
      <c r="AI67">
        <v>2</v>
      </c>
      <c r="AJ67" t="s">
        <v>59</v>
      </c>
      <c r="AK67">
        <v>0</v>
      </c>
      <c r="AL67" t="s">
        <v>60</v>
      </c>
      <c r="AM67">
        <v>1</v>
      </c>
      <c r="AN67" t="s">
        <v>60</v>
      </c>
      <c r="AO67">
        <v>1</v>
      </c>
      <c r="AP67" t="s">
        <v>59</v>
      </c>
      <c r="AQ67">
        <v>0</v>
      </c>
      <c r="AR67" t="s">
        <v>59</v>
      </c>
      <c r="AS67">
        <v>0</v>
      </c>
      <c r="AT67" t="s">
        <v>58</v>
      </c>
      <c r="AU67">
        <v>2</v>
      </c>
      <c r="AV67">
        <f t="shared" si="1"/>
        <v>19</v>
      </c>
      <c r="AW67" t="str">
        <f>IF(Table1[[#This Row],[Pontuação final]]&lt;=2,"Nenhum", IF(Table1[[#This Row],[Pontuação final]]&lt;=12,"Leve", IF(Table1[[#This Row],[Pontuação final]]&lt;=22,"Moderado", "Grave")))</f>
        <v>Moderado</v>
      </c>
    </row>
    <row r="68" spans="1:49" x14ac:dyDescent="0.3">
      <c r="A68">
        <v>68</v>
      </c>
      <c r="B68" t="s">
        <v>49</v>
      </c>
      <c r="C68" s="1">
        <v>20</v>
      </c>
      <c r="D68" s="1">
        <v>78</v>
      </c>
      <c r="E68" s="1">
        <v>1.83</v>
      </c>
      <c r="F68" t="s">
        <v>50</v>
      </c>
      <c r="G68" t="s">
        <v>90</v>
      </c>
      <c r="H68" t="s">
        <v>52</v>
      </c>
      <c r="I68" t="s">
        <v>81</v>
      </c>
      <c r="K68" t="s">
        <v>144</v>
      </c>
      <c r="L68" t="s">
        <v>55</v>
      </c>
      <c r="M68" t="s">
        <v>64</v>
      </c>
      <c r="O68" t="s">
        <v>65</v>
      </c>
      <c r="P68" t="s">
        <v>58</v>
      </c>
      <c r="Q68">
        <v>2</v>
      </c>
      <c r="R68" t="s">
        <v>60</v>
      </c>
      <c r="S68">
        <v>1</v>
      </c>
      <c r="T68" t="s">
        <v>60</v>
      </c>
      <c r="U68">
        <v>1</v>
      </c>
      <c r="V68" t="s">
        <v>58</v>
      </c>
      <c r="W68">
        <v>2</v>
      </c>
      <c r="X68" t="s">
        <v>60</v>
      </c>
      <c r="Y68">
        <v>1</v>
      </c>
      <c r="Z68" t="s">
        <v>59</v>
      </c>
      <c r="AA68">
        <v>0</v>
      </c>
      <c r="AB68" t="s">
        <v>60</v>
      </c>
      <c r="AC68">
        <v>1</v>
      </c>
      <c r="AD68" t="s">
        <v>59</v>
      </c>
      <c r="AE68">
        <v>0</v>
      </c>
      <c r="AF68" t="s">
        <v>58</v>
      </c>
      <c r="AG68">
        <v>2</v>
      </c>
      <c r="AH68" t="s">
        <v>58</v>
      </c>
      <c r="AI68">
        <v>2</v>
      </c>
      <c r="AJ68" t="s">
        <v>58</v>
      </c>
      <c r="AK68">
        <v>2</v>
      </c>
      <c r="AL68" t="s">
        <v>58</v>
      </c>
      <c r="AM68">
        <v>2</v>
      </c>
      <c r="AN68" t="s">
        <v>60</v>
      </c>
      <c r="AO68">
        <v>1</v>
      </c>
      <c r="AP68" t="s">
        <v>60</v>
      </c>
      <c r="AQ68">
        <v>1</v>
      </c>
      <c r="AR68" t="s">
        <v>59</v>
      </c>
      <c r="AS68">
        <v>0</v>
      </c>
      <c r="AT68" t="s">
        <v>58</v>
      </c>
      <c r="AU68">
        <v>2</v>
      </c>
      <c r="AV68">
        <f t="shared" si="1"/>
        <v>20</v>
      </c>
      <c r="AW68" t="str">
        <f>IF(Table1[[#This Row],[Pontuação final]]&lt;=2,"Nenhum", IF(Table1[[#This Row],[Pontuação final]]&lt;=12,"Leve", IF(Table1[[#This Row],[Pontuação final]]&lt;=22,"Moderado", "Grave")))</f>
        <v>Moderado</v>
      </c>
    </row>
    <row r="69" spans="1:49" x14ac:dyDescent="0.3">
      <c r="A69">
        <v>69</v>
      </c>
      <c r="B69" t="s">
        <v>49</v>
      </c>
      <c r="C69" s="1">
        <v>21</v>
      </c>
      <c r="D69" s="1">
        <v>84</v>
      </c>
      <c r="E69" s="1">
        <v>1.76</v>
      </c>
      <c r="F69" t="s">
        <v>50</v>
      </c>
      <c r="G69" t="s">
        <v>90</v>
      </c>
      <c r="H69" t="s">
        <v>52</v>
      </c>
      <c r="I69" t="s">
        <v>53</v>
      </c>
      <c r="K69" t="s">
        <v>89</v>
      </c>
      <c r="L69" t="s">
        <v>55</v>
      </c>
      <c r="M69" t="s">
        <v>64</v>
      </c>
      <c r="O69" t="s">
        <v>57</v>
      </c>
      <c r="P69" t="s">
        <v>58</v>
      </c>
      <c r="Q69">
        <v>2</v>
      </c>
      <c r="R69" t="s">
        <v>59</v>
      </c>
      <c r="S69">
        <v>0</v>
      </c>
      <c r="T69" t="s">
        <v>60</v>
      </c>
      <c r="U69">
        <v>1</v>
      </c>
      <c r="V69" t="s">
        <v>58</v>
      </c>
      <c r="W69">
        <v>2</v>
      </c>
      <c r="X69" t="s">
        <v>58</v>
      </c>
      <c r="Y69">
        <v>2</v>
      </c>
      <c r="Z69" t="s">
        <v>59</v>
      </c>
      <c r="AA69">
        <v>0</v>
      </c>
      <c r="AB69" t="s">
        <v>60</v>
      </c>
      <c r="AC69">
        <v>1</v>
      </c>
      <c r="AD69" t="s">
        <v>59</v>
      </c>
      <c r="AE69">
        <v>0</v>
      </c>
      <c r="AF69" t="s">
        <v>58</v>
      </c>
      <c r="AG69">
        <v>2</v>
      </c>
      <c r="AH69" t="s">
        <v>60</v>
      </c>
      <c r="AI69">
        <v>1</v>
      </c>
      <c r="AJ69" t="s">
        <v>59</v>
      </c>
      <c r="AK69">
        <v>0</v>
      </c>
      <c r="AL69" t="s">
        <v>60</v>
      </c>
      <c r="AM69">
        <v>1</v>
      </c>
      <c r="AN69" t="s">
        <v>59</v>
      </c>
      <c r="AO69">
        <v>0</v>
      </c>
      <c r="AP69" t="s">
        <v>59</v>
      </c>
      <c r="AQ69">
        <v>0</v>
      </c>
      <c r="AR69" t="s">
        <v>59</v>
      </c>
      <c r="AS69">
        <v>0</v>
      </c>
      <c r="AT69" t="s">
        <v>58</v>
      </c>
      <c r="AU69">
        <v>2</v>
      </c>
      <c r="AV69">
        <f t="shared" si="1"/>
        <v>14</v>
      </c>
      <c r="AW69" t="str">
        <f>IF(Table1[[#This Row],[Pontuação final]]&lt;=2,"Nenhum", IF(Table1[[#This Row],[Pontuação final]]&lt;=12,"Leve", IF(Table1[[#This Row],[Pontuação final]]&lt;=22,"Moderado", "Grave")))</f>
        <v>Moderado</v>
      </c>
    </row>
    <row r="70" spans="1:49" x14ac:dyDescent="0.3">
      <c r="A70">
        <v>70</v>
      </c>
      <c r="B70" t="s">
        <v>66</v>
      </c>
      <c r="C70" s="1">
        <v>19</v>
      </c>
      <c r="D70">
        <v>63</v>
      </c>
      <c r="E70">
        <v>1.7</v>
      </c>
      <c r="F70" t="s">
        <v>61</v>
      </c>
      <c r="G70" t="s">
        <v>51</v>
      </c>
      <c r="H70" t="s">
        <v>52</v>
      </c>
      <c r="I70" t="s">
        <v>62</v>
      </c>
      <c r="K70" t="s">
        <v>91</v>
      </c>
      <c r="L70" t="s">
        <v>55</v>
      </c>
      <c r="M70" t="s">
        <v>75</v>
      </c>
      <c r="O70" t="s">
        <v>57</v>
      </c>
      <c r="P70" t="s">
        <v>58</v>
      </c>
      <c r="Q70">
        <v>2</v>
      </c>
      <c r="R70" t="s">
        <v>60</v>
      </c>
      <c r="S70">
        <v>1</v>
      </c>
      <c r="T70" t="s">
        <v>60</v>
      </c>
      <c r="U70">
        <v>1</v>
      </c>
      <c r="V70" t="s">
        <v>58</v>
      </c>
      <c r="W70">
        <v>2</v>
      </c>
      <c r="X70" t="s">
        <v>60</v>
      </c>
      <c r="Y70">
        <v>1</v>
      </c>
      <c r="Z70" t="s">
        <v>59</v>
      </c>
      <c r="AA70">
        <v>0</v>
      </c>
      <c r="AB70" t="s">
        <v>58</v>
      </c>
      <c r="AC70">
        <v>2</v>
      </c>
      <c r="AD70" t="s">
        <v>58</v>
      </c>
      <c r="AE70">
        <v>2</v>
      </c>
      <c r="AF70" t="s">
        <v>60</v>
      </c>
      <c r="AG70">
        <v>1</v>
      </c>
      <c r="AH70" t="s">
        <v>59</v>
      </c>
      <c r="AI70">
        <v>0</v>
      </c>
      <c r="AJ70" t="s">
        <v>59</v>
      </c>
      <c r="AK70">
        <v>0</v>
      </c>
      <c r="AL70" t="s">
        <v>60</v>
      </c>
      <c r="AM70">
        <v>1</v>
      </c>
      <c r="AN70" t="s">
        <v>59</v>
      </c>
      <c r="AO70">
        <v>0</v>
      </c>
      <c r="AP70" t="s">
        <v>59</v>
      </c>
      <c r="AQ70">
        <v>0</v>
      </c>
      <c r="AR70" t="s">
        <v>59</v>
      </c>
      <c r="AS70">
        <v>0</v>
      </c>
      <c r="AT70" t="s">
        <v>58</v>
      </c>
      <c r="AU70">
        <v>2</v>
      </c>
      <c r="AV70">
        <f t="shared" si="1"/>
        <v>15</v>
      </c>
      <c r="AW70" t="str">
        <f>IF(Table1[[#This Row],[Pontuação final]]&lt;=2,"Nenhum", IF(Table1[[#This Row],[Pontuação final]]&lt;=12,"Leve", IF(Table1[[#This Row],[Pontuação final]]&lt;=22,"Moderado", "Grave")))</f>
        <v>Moderado</v>
      </c>
    </row>
    <row r="71" spans="1:49" x14ac:dyDescent="0.3">
      <c r="A71">
        <v>71</v>
      </c>
      <c r="B71" t="s">
        <v>49</v>
      </c>
      <c r="C71" s="1">
        <v>28</v>
      </c>
      <c r="D71" s="1">
        <v>70</v>
      </c>
      <c r="E71">
        <v>1.8</v>
      </c>
      <c r="F71" t="s">
        <v>50</v>
      </c>
      <c r="G71" t="s">
        <v>51</v>
      </c>
      <c r="H71" t="s">
        <v>68</v>
      </c>
      <c r="I71" t="s">
        <v>72</v>
      </c>
      <c r="K71" t="s">
        <v>63</v>
      </c>
      <c r="L71" t="s">
        <v>55</v>
      </c>
      <c r="M71" t="s">
        <v>75</v>
      </c>
      <c r="O71" t="s">
        <v>82</v>
      </c>
      <c r="P71" t="s">
        <v>60</v>
      </c>
      <c r="Q71">
        <v>1</v>
      </c>
      <c r="R71" t="s">
        <v>60</v>
      </c>
      <c r="S71">
        <v>1</v>
      </c>
      <c r="T71" t="s">
        <v>58</v>
      </c>
      <c r="U71">
        <v>2</v>
      </c>
      <c r="V71" t="s">
        <v>58</v>
      </c>
      <c r="W71">
        <v>2</v>
      </c>
      <c r="X71" t="s">
        <v>59</v>
      </c>
      <c r="Y71">
        <v>0</v>
      </c>
      <c r="Z71" t="s">
        <v>59</v>
      </c>
      <c r="AA71">
        <v>0</v>
      </c>
      <c r="AB71" t="s">
        <v>59</v>
      </c>
      <c r="AC71">
        <v>0</v>
      </c>
      <c r="AD71" t="s">
        <v>59</v>
      </c>
      <c r="AE71">
        <v>0</v>
      </c>
      <c r="AF71" t="s">
        <v>59</v>
      </c>
      <c r="AG71">
        <v>0</v>
      </c>
      <c r="AH71" t="s">
        <v>59</v>
      </c>
      <c r="AI71">
        <v>0</v>
      </c>
      <c r="AJ71" t="s">
        <v>59</v>
      </c>
      <c r="AK71">
        <v>0</v>
      </c>
      <c r="AL71" t="s">
        <v>60</v>
      </c>
      <c r="AM71">
        <v>1</v>
      </c>
      <c r="AN71" t="s">
        <v>60</v>
      </c>
      <c r="AO71">
        <v>1</v>
      </c>
      <c r="AP71" t="s">
        <v>59</v>
      </c>
      <c r="AQ71">
        <v>0</v>
      </c>
      <c r="AR71" t="s">
        <v>59</v>
      </c>
      <c r="AS71">
        <v>0</v>
      </c>
      <c r="AT71" t="s">
        <v>60</v>
      </c>
      <c r="AU71">
        <v>1</v>
      </c>
      <c r="AV71">
        <f t="shared" si="1"/>
        <v>9</v>
      </c>
      <c r="AW71" t="str">
        <f>IF(Table1[[#This Row],[Pontuação final]]&lt;=2,"Nenhum", IF(Table1[[#This Row],[Pontuação final]]&lt;=12,"Leve", IF(Table1[[#This Row],[Pontuação final]]&lt;=22,"Moderado", "Grave")))</f>
        <v>Leve</v>
      </c>
    </row>
    <row r="72" spans="1:49" x14ac:dyDescent="0.3">
      <c r="A72">
        <v>72</v>
      </c>
      <c r="B72" t="s">
        <v>49</v>
      </c>
      <c r="C72" s="1">
        <v>23</v>
      </c>
      <c r="D72" s="1">
        <v>85</v>
      </c>
      <c r="E72" s="1">
        <v>1.8</v>
      </c>
      <c r="F72" t="s">
        <v>61</v>
      </c>
      <c r="G72" t="s">
        <v>102</v>
      </c>
      <c r="H72" t="s">
        <v>68</v>
      </c>
      <c r="I72" t="s">
        <v>145</v>
      </c>
      <c r="K72" t="s">
        <v>63</v>
      </c>
      <c r="L72" t="s">
        <v>55</v>
      </c>
      <c r="M72" t="s">
        <v>92</v>
      </c>
      <c r="N72" t="s">
        <v>146</v>
      </c>
      <c r="O72" t="s">
        <v>82</v>
      </c>
      <c r="P72" t="s">
        <v>58</v>
      </c>
      <c r="Q72">
        <v>2</v>
      </c>
      <c r="R72" t="s">
        <v>58</v>
      </c>
      <c r="S72">
        <v>2</v>
      </c>
      <c r="T72" t="s">
        <v>59</v>
      </c>
      <c r="U72">
        <v>0</v>
      </c>
      <c r="V72" t="s">
        <v>58</v>
      </c>
      <c r="W72">
        <v>2</v>
      </c>
      <c r="X72" t="s">
        <v>59</v>
      </c>
      <c r="Y72">
        <v>0</v>
      </c>
      <c r="Z72" t="s">
        <v>59</v>
      </c>
      <c r="AA72">
        <v>0</v>
      </c>
      <c r="AB72" t="s">
        <v>59</v>
      </c>
      <c r="AC72">
        <v>0</v>
      </c>
      <c r="AD72" t="s">
        <v>59</v>
      </c>
      <c r="AE72">
        <v>0</v>
      </c>
      <c r="AF72" t="s">
        <v>58</v>
      </c>
      <c r="AG72">
        <v>2</v>
      </c>
      <c r="AH72" t="s">
        <v>58</v>
      </c>
      <c r="AI72">
        <v>2</v>
      </c>
      <c r="AJ72" t="s">
        <v>58</v>
      </c>
      <c r="AK72">
        <v>2</v>
      </c>
      <c r="AL72" t="s">
        <v>59</v>
      </c>
      <c r="AM72">
        <v>0</v>
      </c>
      <c r="AN72" t="s">
        <v>59</v>
      </c>
      <c r="AO72">
        <v>0</v>
      </c>
      <c r="AP72" t="s">
        <v>59</v>
      </c>
      <c r="AQ72">
        <v>0</v>
      </c>
      <c r="AR72" t="s">
        <v>59</v>
      </c>
      <c r="AS72">
        <v>0</v>
      </c>
      <c r="AT72" t="s">
        <v>58</v>
      </c>
      <c r="AU72">
        <v>2</v>
      </c>
      <c r="AV72">
        <f t="shared" si="1"/>
        <v>14</v>
      </c>
      <c r="AW72" t="str">
        <f>IF(Table1[[#This Row],[Pontuação final]]&lt;=2,"Nenhum", IF(Table1[[#This Row],[Pontuação final]]&lt;=12,"Leve", IF(Table1[[#This Row],[Pontuação final]]&lt;=22,"Moderado", "Grave")))</f>
        <v>Moderado</v>
      </c>
    </row>
    <row r="73" spans="1:49" x14ac:dyDescent="0.3">
      <c r="A73">
        <v>73</v>
      </c>
      <c r="B73" t="s">
        <v>49</v>
      </c>
      <c r="C73" s="1">
        <v>21</v>
      </c>
      <c r="D73" s="1">
        <v>70</v>
      </c>
      <c r="E73" s="1">
        <v>1.8</v>
      </c>
      <c r="F73" t="s">
        <v>61</v>
      </c>
      <c r="G73" t="s">
        <v>67</v>
      </c>
      <c r="H73" t="s">
        <v>68</v>
      </c>
      <c r="I73" t="s">
        <v>147</v>
      </c>
      <c r="K73" t="s">
        <v>148</v>
      </c>
      <c r="L73" t="s">
        <v>109</v>
      </c>
      <c r="M73" t="s">
        <v>75</v>
      </c>
      <c r="O73" t="s">
        <v>57</v>
      </c>
      <c r="P73" t="s">
        <v>58</v>
      </c>
      <c r="Q73">
        <v>2</v>
      </c>
      <c r="R73" t="s">
        <v>59</v>
      </c>
      <c r="S73">
        <v>0</v>
      </c>
      <c r="T73" t="s">
        <v>58</v>
      </c>
      <c r="U73">
        <v>2</v>
      </c>
      <c r="V73" t="s">
        <v>58</v>
      </c>
      <c r="W73">
        <v>2</v>
      </c>
      <c r="X73" t="s">
        <v>59</v>
      </c>
      <c r="Y73">
        <v>0</v>
      </c>
      <c r="Z73" t="s">
        <v>59</v>
      </c>
      <c r="AA73">
        <v>0</v>
      </c>
      <c r="AB73" t="s">
        <v>59</v>
      </c>
      <c r="AC73">
        <v>0</v>
      </c>
      <c r="AD73" t="s">
        <v>59</v>
      </c>
      <c r="AE73">
        <v>0</v>
      </c>
      <c r="AF73" t="s">
        <v>59</v>
      </c>
      <c r="AG73">
        <v>0</v>
      </c>
      <c r="AH73" t="s">
        <v>58</v>
      </c>
      <c r="AI73">
        <v>2</v>
      </c>
      <c r="AJ73" t="s">
        <v>58</v>
      </c>
      <c r="AK73">
        <v>2</v>
      </c>
      <c r="AL73" t="s">
        <v>59</v>
      </c>
      <c r="AM73">
        <v>0</v>
      </c>
      <c r="AN73" t="s">
        <v>59</v>
      </c>
      <c r="AO73">
        <v>0</v>
      </c>
      <c r="AP73" t="s">
        <v>59</v>
      </c>
      <c r="AQ73">
        <v>0</v>
      </c>
      <c r="AR73" t="s">
        <v>59</v>
      </c>
      <c r="AS73">
        <v>0</v>
      </c>
      <c r="AT73" t="s">
        <v>60</v>
      </c>
      <c r="AU73">
        <v>1</v>
      </c>
      <c r="AV73">
        <f t="shared" si="1"/>
        <v>11</v>
      </c>
      <c r="AW73" t="str">
        <f>IF(Table1[[#This Row],[Pontuação final]]&lt;=2,"Nenhum", IF(Table1[[#This Row],[Pontuação final]]&lt;=12,"Leve", IF(Table1[[#This Row],[Pontuação final]]&lt;=22,"Moderado", "Grave")))</f>
        <v>Leve</v>
      </c>
    </row>
    <row r="74" spans="1:49" x14ac:dyDescent="0.3">
      <c r="A74">
        <v>74</v>
      </c>
      <c r="B74" t="s">
        <v>49</v>
      </c>
      <c r="C74" s="1">
        <v>46</v>
      </c>
      <c r="D74" s="1">
        <v>86</v>
      </c>
      <c r="E74">
        <v>1.74</v>
      </c>
      <c r="F74" t="s">
        <v>76</v>
      </c>
      <c r="G74" t="s">
        <v>102</v>
      </c>
      <c r="H74" t="s">
        <v>52</v>
      </c>
      <c r="I74" t="s">
        <v>69</v>
      </c>
      <c r="K74" t="s">
        <v>149</v>
      </c>
      <c r="L74" t="s">
        <v>150</v>
      </c>
      <c r="M74" t="s">
        <v>64</v>
      </c>
      <c r="O74" t="s">
        <v>65</v>
      </c>
      <c r="P74" t="s">
        <v>58</v>
      </c>
      <c r="Q74">
        <v>2</v>
      </c>
      <c r="R74" t="s">
        <v>60</v>
      </c>
      <c r="S74">
        <v>1</v>
      </c>
      <c r="T74" t="s">
        <v>59</v>
      </c>
      <c r="U74">
        <v>0</v>
      </c>
      <c r="V74" t="s">
        <v>58</v>
      </c>
      <c r="W74">
        <v>2</v>
      </c>
      <c r="X74" t="s">
        <v>59</v>
      </c>
      <c r="Y74">
        <v>0</v>
      </c>
      <c r="Z74" t="s">
        <v>59</v>
      </c>
      <c r="AA74">
        <v>0</v>
      </c>
      <c r="AB74" t="s">
        <v>59</v>
      </c>
      <c r="AC74">
        <v>0</v>
      </c>
      <c r="AD74" t="s">
        <v>59</v>
      </c>
      <c r="AE74">
        <v>0</v>
      </c>
      <c r="AF74" t="s">
        <v>59</v>
      </c>
      <c r="AG74">
        <v>0</v>
      </c>
      <c r="AH74" t="s">
        <v>58</v>
      </c>
      <c r="AI74">
        <v>2</v>
      </c>
      <c r="AJ74" t="s">
        <v>58</v>
      </c>
      <c r="AK74">
        <v>2</v>
      </c>
      <c r="AL74" t="s">
        <v>60</v>
      </c>
      <c r="AM74">
        <v>1</v>
      </c>
      <c r="AN74" t="s">
        <v>60</v>
      </c>
      <c r="AO74">
        <v>1</v>
      </c>
      <c r="AP74" t="s">
        <v>59</v>
      </c>
      <c r="AQ74">
        <v>0</v>
      </c>
      <c r="AR74" t="s">
        <v>59</v>
      </c>
      <c r="AS74">
        <v>0</v>
      </c>
      <c r="AT74" t="s">
        <v>60</v>
      </c>
      <c r="AU74">
        <v>1</v>
      </c>
      <c r="AV74">
        <f t="shared" si="1"/>
        <v>12</v>
      </c>
      <c r="AW74" t="str">
        <f>IF(Table1[[#This Row],[Pontuação final]]&lt;=2,"Nenhum", IF(Table1[[#This Row],[Pontuação final]]&lt;=12,"Leve", IF(Table1[[#This Row],[Pontuação final]]&lt;=22,"Moderado", "Grave")))</f>
        <v>Leve</v>
      </c>
    </row>
    <row r="75" spans="1:49" x14ac:dyDescent="0.3">
      <c r="A75">
        <v>75</v>
      </c>
      <c r="B75" t="s">
        <v>49</v>
      </c>
      <c r="C75" s="1">
        <v>19</v>
      </c>
      <c r="D75" s="1">
        <v>90</v>
      </c>
      <c r="E75">
        <v>1.78</v>
      </c>
      <c r="F75" t="s">
        <v>61</v>
      </c>
      <c r="G75" t="s">
        <v>51</v>
      </c>
      <c r="H75" t="s">
        <v>68</v>
      </c>
      <c r="I75" t="s">
        <v>72</v>
      </c>
      <c r="K75" t="s">
        <v>70</v>
      </c>
      <c r="L75" t="s">
        <v>55</v>
      </c>
      <c r="M75" t="s">
        <v>64</v>
      </c>
      <c r="O75" t="s">
        <v>57</v>
      </c>
      <c r="P75" t="s">
        <v>58</v>
      </c>
      <c r="Q75">
        <v>2</v>
      </c>
      <c r="R75" t="s">
        <v>60</v>
      </c>
      <c r="S75">
        <v>1</v>
      </c>
      <c r="T75" t="s">
        <v>60</v>
      </c>
      <c r="U75">
        <v>1</v>
      </c>
      <c r="V75" t="s">
        <v>58</v>
      </c>
      <c r="W75">
        <v>2</v>
      </c>
      <c r="X75" t="s">
        <v>59</v>
      </c>
      <c r="Y75">
        <v>0</v>
      </c>
      <c r="Z75" t="s">
        <v>59</v>
      </c>
      <c r="AA75">
        <v>0</v>
      </c>
      <c r="AB75" t="s">
        <v>60</v>
      </c>
      <c r="AC75">
        <v>1</v>
      </c>
      <c r="AD75" t="s">
        <v>60</v>
      </c>
      <c r="AE75">
        <v>1</v>
      </c>
      <c r="AF75" t="s">
        <v>60</v>
      </c>
      <c r="AG75">
        <v>1</v>
      </c>
      <c r="AH75" t="s">
        <v>59</v>
      </c>
      <c r="AI75">
        <v>0</v>
      </c>
      <c r="AJ75" t="s">
        <v>60</v>
      </c>
      <c r="AK75">
        <v>1</v>
      </c>
      <c r="AL75" t="s">
        <v>60</v>
      </c>
      <c r="AM75">
        <v>1</v>
      </c>
      <c r="AN75" t="s">
        <v>59</v>
      </c>
      <c r="AO75">
        <v>0</v>
      </c>
      <c r="AP75" t="s">
        <v>60</v>
      </c>
      <c r="AQ75">
        <v>1</v>
      </c>
      <c r="AR75" t="s">
        <v>59</v>
      </c>
      <c r="AS75">
        <v>0</v>
      </c>
      <c r="AT75" t="s">
        <v>58</v>
      </c>
      <c r="AU75">
        <v>2</v>
      </c>
      <c r="AV75">
        <f t="shared" si="1"/>
        <v>14</v>
      </c>
      <c r="AW75" t="str">
        <f>IF(Table1[[#This Row],[Pontuação final]]&lt;=2,"Nenhum", IF(Table1[[#This Row],[Pontuação final]]&lt;=12,"Leve", IF(Table1[[#This Row],[Pontuação final]]&lt;=22,"Moderado", "Grave")))</f>
        <v>Moderado</v>
      </c>
    </row>
    <row r="76" spans="1:49" x14ac:dyDescent="0.3">
      <c r="A76">
        <v>76</v>
      </c>
      <c r="B76" t="s">
        <v>49</v>
      </c>
      <c r="C76" s="1">
        <v>20</v>
      </c>
      <c r="D76" s="1">
        <v>90</v>
      </c>
      <c r="E76" s="1">
        <v>1.8</v>
      </c>
      <c r="F76" t="s">
        <v>50</v>
      </c>
      <c r="G76" t="s">
        <v>77</v>
      </c>
      <c r="H76" t="s">
        <v>52</v>
      </c>
      <c r="I76" t="s">
        <v>62</v>
      </c>
      <c r="J76" t="s">
        <v>151</v>
      </c>
      <c r="K76" t="s">
        <v>152</v>
      </c>
      <c r="L76" t="s">
        <v>55</v>
      </c>
      <c r="M76" t="s">
        <v>64</v>
      </c>
      <c r="O76" t="s">
        <v>65</v>
      </c>
      <c r="P76" t="s">
        <v>60</v>
      </c>
      <c r="Q76">
        <v>1</v>
      </c>
      <c r="R76" t="s">
        <v>58</v>
      </c>
      <c r="S76">
        <v>2</v>
      </c>
      <c r="T76" t="s">
        <v>59</v>
      </c>
      <c r="U76">
        <v>0</v>
      </c>
      <c r="V76" t="s">
        <v>58</v>
      </c>
      <c r="W76">
        <v>2</v>
      </c>
      <c r="X76" t="s">
        <v>59</v>
      </c>
      <c r="Y76">
        <v>0</v>
      </c>
      <c r="Z76" t="s">
        <v>59</v>
      </c>
      <c r="AA76">
        <v>0</v>
      </c>
      <c r="AB76" t="s">
        <v>59</v>
      </c>
      <c r="AC76">
        <v>0</v>
      </c>
      <c r="AD76" t="s">
        <v>60</v>
      </c>
      <c r="AE76">
        <v>1</v>
      </c>
      <c r="AF76" t="s">
        <v>60</v>
      </c>
      <c r="AG76">
        <v>1</v>
      </c>
      <c r="AH76" t="s">
        <v>59</v>
      </c>
      <c r="AI76">
        <v>0</v>
      </c>
      <c r="AJ76" t="s">
        <v>59</v>
      </c>
      <c r="AK76">
        <v>0</v>
      </c>
      <c r="AL76" t="s">
        <v>60</v>
      </c>
      <c r="AM76">
        <v>1</v>
      </c>
      <c r="AN76" t="s">
        <v>59</v>
      </c>
      <c r="AO76">
        <v>0</v>
      </c>
      <c r="AP76" t="s">
        <v>59</v>
      </c>
      <c r="AQ76">
        <v>0</v>
      </c>
      <c r="AR76" t="s">
        <v>60</v>
      </c>
      <c r="AS76">
        <v>1</v>
      </c>
      <c r="AT76" t="s">
        <v>60</v>
      </c>
      <c r="AU76">
        <v>1</v>
      </c>
      <c r="AV76">
        <f t="shared" si="1"/>
        <v>10</v>
      </c>
      <c r="AW76" t="str">
        <f>IF(Table1[[#This Row],[Pontuação final]]&lt;=2,"Nenhum", IF(Table1[[#This Row],[Pontuação final]]&lt;=12,"Leve", IF(Table1[[#This Row],[Pontuação final]]&lt;=22,"Moderado", "Grave")))</f>
        <v>Leve</v>
      </c>
    </row>
    <row r="77" spans="1:49" x14ac:dyDescent="0.3">
      <c r="A77">
        <v>77</v>
      </c>
      <c r="B77" t="s">
        <v>49</v>
      </c>
      <c r="C77" s="1">
        <v>23</v>
      </c>
      <c r="D77" s="1">
        <v>85</v>
      </c>
      <c r="E77">
        <v>1.74</v>
      </c>
      <c r="F77" t="s">
        <v>76</v>
      </c>
      <c r="G77" t="s">
        <v>90</v>
      </c>
      <c r="H77" t="s">
        <v>68</v>
      </c>
      <c r="I77" t="s">
        <v>153</v>
      </c>
      <c r="K77" t="s">
        <v>74</v>
      </c>
      <c r="L77" t="s">
        <v>74</v>
      </c>
      <c r="M77" t="s">
        <v>75</v>
      </c>
      <c r="O77" t="s">
        <v>82</v>
      </c>
      <c r="P77" t="s">
        <v>60</v>
      </c>
      <c r="Q77">
        <v>1</v>
      </c>
      <c r="R77" t="s">
        <v>60</v>
      </c>
      <c r="S77">
        <v>1</v>
      </c>
      <c r="T77" t="s">
        <v>58</v>
      </c>
      <c r="U77">
        <v>2</v>
      </c>
      <c r="V77" t="s">
        <v>58</v>
      </c>
      <c r="W77">
        <v>2</v>
      </c>
      <c r="X77" t="s">
        <v>59</v>
      </c>
      <c r="Y77">
        <v>0</v>
      </c>
      <c r="Z77" t="s">
        <v>60</v>
      </c>
      <c r="AA77">
        <v>1</v>
      </c>
      <c r="AB77" t="s">
        <v>60</v>
      </c>
      <c r="AC77">
        <v>1</v>
      </c>
      <c r="AD77" t="s">
        <v>58</v>
      </c>
      <c r="AE77">
        <v>2</v>
      </c>
      <c r="AF77" t="s">
        <v>59</v>
      </c>
      <c r="AG77">
        <v>0</v>
      </c>
      <c r="AH77" t="s">
        <v>60</v>
      </c>
      <c r="AI77">
        <v>1</v>
      </c>
      <c r="AJ77" t="s">
        <v>60</v>
      </c>
      <c r="AK77">
        <v>1</v>
      </c>
      <c r="AL77" t="s">
        <v>60</v>
      </c>
      <c r="AM77">
        <v>1</v>
      </c>
      <c r="AN77" t="s">
        <v>59</v>
      </c>
      <c r="AO77">
        <v>0</v>
      </c>
      <c r="AP77" t="s">
        <v>59</v>
      </c>
      <c r="AQ77">
        <v>0</v>
      </c>
      <c r="AR77" t="s">
        <v>59</v>
      </c>
      <c r="AS77">
        <v>0</v>
      </c>
      <c r="AT77" t="s">
        <v>60</v>
      </c>
      <c r="AU77">
        <v>1</v>
      </c>
      <c r="AV77">
        <f t="shared" si="1"/>
        <v>14</v>
      </c>
      <c r="AW77" t="str">
        <f>IF(Table1[[#This Row],[Pontuação final]]&lt;=2,"Nenhum", IF(Table1[[#This Row],[Pontuação final]]&lt;=12,"Leve", IF(Table1[[#This Row],[Pontuação final]]&lt;=22,"Moderado", "Grave")))</f>
        <v>Moderado</v>
      </c>
    </row>
    <row r="78" spans="1:49" x14ac:dyDescent="0.3">
      <c r="A78">
        <v>78</v>
      </c>
      <c r="B78" t="s">
        <v>49</v>
      </c>
      <c r="C78" s="1">
        <v>19</v>
      </c>
      <c r="D78" s="1">
        <v>65</v>
      </c>
      <c r="E78">
        <v>1.75</v>
      </c>
      <c r="F78" t="s">
        <v>61</v>
      </c>
      <c r="G78" t="s">
        <v>79</v>
      </c>
      <c r="H78" t="s">
        <v>52</v>
      </c>
      <c r="I78" t="s">
        <v>62</v>
      </c>
      <c r="K78" t="s">
        <v>154</v>
      </c>
      <c r="L78" t="s">
        <v>55</v>
      </c>
      <c r="M78" t="s">
        <v>56</v>
      </c>
      <c r="O78" t="s">
        <v>57</v>
      </c>
      <c r="P78" t="s">
        <v>58</v>
      </c>
      <c r="Q78">
        <v>2</v>
      </c>
      <c r="R78" t="s">
        <v>58</v>
      </c>
      <c r="S78">
        <v>2</v>
      </c>
      <c r="T78" t="s">
        <v>58</v>
      </c>
      <c r="U78">
        <v>2</v>
      </c>
      <c r="V78" t="s">
        <v>58</v>
      </c>
      <c r="W78">
        <v>2</v>
      </c>
      <c r="X78" t="s">
        <v>59</v>
      </c>
      <c r="Y78">
        <v>0</v>
      </c>
      <c r="Z78" t="s">
        <v>59</v>
      </c>
      <c r="AA78">
        <v>0</v>
      </c>
      <c r="AB78" t="s">
        <v>60</v>
      </c>
      <c r="AC78">
        <v>1</v>
      </c>
      <c r="AD78" t="s">
        <v>59</v>
      </c>
      <c r="AE78">
        <v>0</v>
      </c>
      <c r="AF78" t="s">
        <v>60</v>
      </c>
      <c r="AG78">
        <v>1</v>
      </c>
      <c r="AH78" t="s">
        <v>59</v>
      </c>
      <c r="AI78">
        <v>0</v>
      </c>
      <c r="AJ78" t="s">
        <v>60</v>
      </c>
      <c r="AK78">
        <v>1</v>
      </c>
      <c r="AL78" t="s">
        <v>60</v>
      </c>
      <c r="AM78">
        <v>1</v>
      </c>
      <c r="AN78" t="s">
        <v>59</v>
      </c>
      <c r="AO78">
        <v>0</v>
      </c>
      <c r="AP78" t="s">
        <v>59</v>
      </c>
      <c r="AQ78">
        <v>0</v>
      </c>
      <c r="AR78" t="s">
        <v>59</v>
      </c>
      <c r="AS78">
        <v>0</v>
      </c>
      <c r="AT78" t="s">
        <v>60</v>
      </c>
      <c r="AU78">
        <v>1</v>
      </c>
      <c r="AV78">
        <f t="shared" si="1"/>
        <v>13</v>
      </c>
      <c r="AW78" t="str">
        <f>IF(Table1[[#This Row],[Pontuação final]]&lt;=2,"Nenhum", IF(Table1[[#This Row],[Pontuação final]]&lt;=12,"Leve", IF(Table1[[#This Row],[Pontuação final]]&lt;=22,"Moderado", "Grave")))</f>
        <v>Moderado</v>
      </c>
    </row>
    <row r="79" spans="1:49" x14ac:dyDescent="0.3">
      <c r="A79">
        <v>79</v>
      </c>
      <c r="B79" t="s">
        <v>49</v>
      </c>
      <c r="C79" s="1">
        <v>25</v>
      </c>
      <c r="D79" s="1">
        <v>110</v>
      </c>
      <c r="E79" s="1">
        <v>1.8</v>
      </c>
      <c r="F79" t="s">
        <v>61</v>
      </c>
      <c r="G79" t="s">
        <v>67</v>
      </c>
      <c r="H79" t="s">
        <v>68</v>
      </c>
      <c r="I79" t="s">
        <v>155</v>
      </c>
      <c r="J79" t="s">
        <v>156</v>
      </c>
      <c r="K79" t="s">
        <v>157</v>
      </c>
      <c r="L79" t="s">
        <v>74</v>
      </c>
      <c r="M79" t="s">
        <v>56</v>
      </c>
      <c r="O79" t="s">
        <v>82</v>
      </c>
      <c r="P79" t="s">
        <v>60</v>
      </c>
      <c r="Q79">
        <v>1</v>
      </c>
      <c r="R79" t="s">
        <v>58</v>
      </c>
      <c r="S79">
        <v>2</v>
      </c>
      <c r="T79" t="s">
        <v>58</v>
      </c>
      <c r="U79">
        <v>2</v>
      </c>
      <c r="V79" t="s">
        <v>58</v>
      </c>
      <c r="W79">
        <v>2</v>
      </c>
      <c r="X79" t="s">
        <v>60</v>
      </c>
      <c r="Y79">
        <v>1</v>
      </c>
      <c r="Z79" t="s">
        <v>59</v>
      </c>
      <c r="AA79">
        <v>0</v>
      </c>
      <c r="AB79" t="s">
        <v>60</v>
      </c>
      <c r="AC79">
        <v>1</v>
      </c>
      <c r="AD79" t="s">
        <v>60</v>
      </c>
      <c r="AE79">
        <v>1</v>
      </c>
      <c r="AF79" t="s">
        <v>60</v>
      </c>
      <c r="AG79">
        <v>1</v>
      </c>
      <c r="AH79" t="s">
        <v>58</v>
      </c>
      <c r="AI79">
        <v>2</v>
      </c>
      <c r="AJ79" t="s">
        <v>58</v>
      </c>
      <c r="AK79">
        <v>2</v>
      </c>
      <c r="AL79" t="s">
        <v>58</v>
      </c>
      <c r="AM79">
        <v>2</v>
      </c>
      <c r="AN79" t="s">
        <v>59</v>
      </c>
      <c r="AO79">
        <v>0</v>
      </c>
      <c r="AP79" t="s">
        <v>60</v>
      </c>
      <c r="AQ79">
        <v>1</v>
      </c>
      <c r="AR79" t="s">
        <v>59</v>
      </c>
      <c r="AS79">
        <v>0</v>
      </c>
      <c r="AT79" t="s">
        <v>60</v>
      </c>
      <c r="AU79">
        <v>1</v>
      </c>
      <c r="AV79">
        <f t="shared" si="1"/>
        <v>19</v>
      </c>
      <c r="AW79" t="str">
        <f>IF(Table1[[#This Row],[Pontuação final]]&lt;=2,"Nenhum", IF(Table1[[#This Row],[Pontuação final]]&lt;=12,"Leve", IF(Table1[[#This Row],[Pontuação final]]&lt;=22,"Moderado", "Grave")))</f>
        <v>Moderado</v>
      </c>
    </row>
    <row r="80" spans="1:49" x14ac:dyDescent="0.3">
      <c r="A80">
        <v>80</v>
      </c>
      <c r="B80" t="s">
        <v>49</v>
      </c>
      <c r="C80" s="1">
        <v>25</v>
      </c>
      <c r="D80" s="1">
        <v>79</v>
      </c>
      <c r="E80" s="1">
        <v>1.75</v>
      </c>
      <c r="F80" t="s">
        <v>104</v>
      </c>
      <c r="G80" t="s">
        <v>67</v>
      </c>
      <c r="H80" t="s">
        <v>52</v>
      </c>
      <c r="I80" t="s">
        <v>69</v>
      </c>
      <c r="K80" t="s">
        <v>158</v>
      </c>
      <c r="L80" t="s">
        <v>55</v>
      </c>
      <c r="M80" t="s">
        <v>92</v>
      </c>
      <c r="N80" t="s">
        <v>146</v>
      </c>
      <c r="O80" t="s">
        <v>82</v>
      </c>
      <c r="P80" t="s">
        <v>60</v>
      </c>
      <c r="Q80">
        <v>1</v>
      </c>
      <c r="R80" t="s">
        <v>58</v>
      </c>
      <c r="S80">
        <v>2</v>
      </c>
      <c r="T80" t="s">
        <v>58</v>
      </c>
      <c r="U80">
        <v>2</v>
      </c>
      <c r="V80" t="s">
        <v>58</v>
      </c>
      <c r="W80">
        <v>2</v>
      </c>
      <c r="X80" t="s">
        <v>60</v>
      </c>
      <c r="Y80">
        <v>1</v>
      </c>
      <c r="Z80" t="s">
        <v>59</v>
      </c>
      <c r="AA80">
        <v>0</v>
      </c>
      <c r="AB80" t="s">
        <v>59</v>
      </c>
      <c r="AC80">
        <v>0</v>
      </c>
      <c r="AD80" t="s">
        <v>59</v>
      </c>
      <c r="AE80">
        <v>0</v>
      </c>
      <c r="AF80" t="s">
        <v>60</v>
      </c>
      <c r="AG80">
        <v>1</v>
      </c>
      <c r="AH80" t="s">
        <v>58</v>
      </c>
      <c r="AI80">
        <v>2</v>
      </c>
      <c r="AJ80" t="s">
        <v>58</v>
      </c>
      <c r="AK80">
        <v>2</v>
      </c>
      <c r="AL80" t="s">
        <v>59</v>
      </c>
      <c r="AM80">
        <v>0</v>
      </c>
      <c r="AN80" t="s">
        <v>59</v>
      </c>
      <c r="AO80">
        <v>0</v>
      </c>
      <c r="AP80" t="s">
        <v>59</v>
      </c>
      <c r="AQ80">
        <v>0</v>
      </c>
      <c r="AR80" t="s">
        <v>59</v>
      </c>
      <c r="AS80">
        <v>0</v>
      </c>
      <c r="AT80" t="s">
        <v>60</v>
      </c>
      <c r="AU80">
        <v>1</v>
      </c>
      <c r="AV80">
        <f t="shared" si="1"/>
        <v>14</v>
      </c>
      <c r="AW80" t="str">
        <f>IF(Table1[[#This Row],[Pontuação final]]&lt;=2,"Nenhum", IF(Table1[[#This Row],[Pontuação final]]&lt;=12,"Leve", IF(Table1[[#This Row],[Pontuação final]]&lt;=22,"Moderado", "Grave")))</f>
        <v>Moderado</v>
      </c>
    </row>
    <row r="81" spans="1:49" x14ac:dyDescent="0.3">
      <c r="A81">
        <v>81</v>
      </c>
      <c r="B81" t="s">
        <v>49</v>
      </c>
      <c r="C81" s="1">
        <v>20</v>
      </c>
      <c r="D81" s="1">
        <v>50</v>
      </c>
      <c r="E81">
        <v>1.7</v>
      </c>
      <c r="F81" t="s">
        <v>76</v>
      </c>
      <c r="G81" t="s">
        <v>90</v>
      </c>
      <c r="H81" t="s">
        <v>68</v>
      </c>
      <c r="I81" t="s">
        <v>53</v>
      </c>
      <c r="K81" t="s">
        <v>70</v>
      </c>
      <c r="L81" t="s">
        <v>55</v>
      </c>
      <c r="M81" t="s">
        <v>64</v>
      </c>
      <c r="O81" t="s">
        <v>82</v>
      </c>
      <c r="P81" t="s">
        <v>60</v>
      </c>
      <c r="Q81">
        <v>1</v>
      </c>
      <c r="R81" t="s">
        <v>58</v>
      </c>
      <c r="S81">
        <v>2</v>
      </c>
      <c r="T81" t="s">
        <v>59</v>
      </c>
      <c r="U81">
        <v>0</v>
      </c>
      <c r="V81" t="s">
        <v>60</v>
      </c>
      <c r="W81">
        <v>1</v>
      </c>
      <c r="X81" t="s">
        <v>59</v>
      </c>
      <c r="Y81">
        <v>0</v>
      </c>
      <c r="Z81" t="s">
        <v>59</v>
      </c>
      <c r="AA81">
        <v>0</v>
      </c>
      <c r="AB81" t="s">
        <v>60</v>
      </c>
      <c r="AC81">
        <v>1</v>
      </c>
      <c r="AD81" t="s">
        <v>59</v>
      </c>
      <c r="AE81">
        <v>0</v>
      </c>
      <c r="AF81" t="s">
        <v>60</v>
      </c>
      <c r="AG81">
        <v>1</v>
      </c>
      <c r="AH81" t="s">
        <v>59</v>
      </c>
      <c r="AI81">
        <v>0</v>
      </c>
      <c r="AJ81" t="s">
        <v>60</v>
      </c>
      <c r="AK81">
        <v>1</v>
      </c>
      <c r="AL81" t="s">
        <v>60</v>
      </c>
      <c r="AM81">
        <v>1</v>
      </c>
      <c r="AN81" t="s">
        <v>59</v>
      </c>
      <c r="AO81">
        <v>0</v>
      </c>
      <c r="AP81" t="s">
        <v>59</v>
      </c>
      <c r="AQ81">
        <v>0</v>
      </c>
      <c r="AR81" t="s">
        <v>59</v>
      </c>
      <c r="AS81">
        <v>0</v>
      </c>
      <c r="AT81" t="s">
        <v>60</v>
      </c>
      <c r="AU81">
        <v>1</v>
      </c>
      <c r="AV81">
        <f t="shared" si="1"/>
        <v>9</v>
      </c>
      <c r="AW81" t="str">
        <f>IF(Table1[[#This Row],[Pontuação final]]&lt;=2,"Nenhum", IF(Table1[[#This Row],[Pontuação final]]&lt;=12,"Leve", IF(Table1[[#This Row],[Pontuação final]]&lt;=22,"Moderado", "Grave")))</f>
        <v>Leve</v>
      </c>
    </row>
    <row r="82" spans="1:49" x14ac:dyDescent="0.3">
      <c r="A82">
        <v>82</v>
      </c>
      <c r="B82" t="s">
        <v>66</v>
      </c>
      <c r="C82" s="1">
        <v>21</v>
      </c>
      <c r="D82" s="1">
        <v>58</v>
      </c>
      <c r="E82" s="1">
        <v>1.6</v>
      </c>
      <c r="F82" t="s">
        <v>111</v>
      </c>
      <c r="G82" t="s">
        <v>90</v>
      </c>
      <c r="H82" t="s">
        <v>52</v>
      </c>
      <c r="I82" t="s">
        <v>159</v>
      </c>
      <c r="K82" t="s">
        <v>160</v>
      </c>
      <c r="L82" t="s">
        <v>55</v>
      </c>
      <c r="M82" t="s">
        <v>75</v>
      </c>
      <c r="O82" t="s">
        <v>57</v>
      </c>
      <c r="P82" t="s">
        <v>58</v>
      </c>
      <c r="Q82">
        <v>2</v>
      </c>
      <c r="R82" t="s">
        <v>59</v>
      </c>
      <c r="S82">
        <v>0</v>
      </c>
      <c r="T82" t="s">
        <v>58</v>
      </c>
      <c r="U82">
        <v>2</v>
      </c>
      <c r="V82" t="s">
        <v>58</v>
      </c>
      <c r="W82">
        <v>2</v>
      </c>
      <c r="X82" t="s">
        <v>60</v>
      </c>
      <c r="Y82">
        <v>1</v>
      </c>
      <c r="Z82" t="s">
        <v>59</v>
      </c>
      <c r="AA82">
        <v>0</v>
      </c>
      <c r="AB82" t="s">
        <v>59</v>
      </c>
      <c r="AC82">
        <v>0</v>
      </c>
      <c r="AD82" t="s">
        <v>59</v>
      </c>
      <c r="AE82">
        <v>0</v>
      </c>
      <c r="AF82" t="s">
        <v>58</v>
      </c>
      <c r="AG82">
        <v>2</v>
      </c>
      <c r="AH82" t="s">
        <v>58</v>
      </c>
      <c r="AI82">
        <v>2</v>
      </c>
      <c r="AJ82" t="s">
        <v>60</v>
      </c>
      <c r="AK82">
        <v>1</v>
      </c>
      <c r="AL82" t="s">
        <v>58</v>
      </c>
      <c r="AM82">
        <v>2</v>
      </c>
      <c r="AN82" t="s">
        <v>60</v>
      </c>
      <c r="AO82">
        <v>1</v>
      </c>
      <c r="AP82" t="s">
        <v>60</v>
      </c>
      <c r="AQ82">
        <v>1</v>
      </c>
      <c r="AR82" t="s">
        <v>59</v>
      </c>
      <c r="AS82">
        <v>0</v>
      </c>
      <c r="AT82" t="s">
        <v>58</v>
      </c>
      <c r="AU82">
        <v>2</v>
      </c>
      <c r="AV82">
        <f t="shared" si="1"/>
        <v>18</v>
      </c>
      <c r="AW82" t="str">
        <f>IF(Table1[[#This Row],[Pontuação final]]&lt;=2,"Nenhum", IF(Table1[[#This Row],[Pontuação final]]&lt;=12,"Leve", IF(Table1[[#This Row],[Pontuação final]]&lt;=22,"Moderado", "Grave")))</f>
        <v>Moderado</v>
      </c>
    </row>
    <row r="83" spans="1:49" x14ac:dyDescent="0.3">
      <c r="A83">
        <v>83</v>
      </c>
      <c r="B83" t="s">
        <v>66</v>
      </c>
      <c r="C83" s="1">
        <v>19</v>
      </c>
      <c r="D83" s="1">
        <v>68</v>
      </c>
      <c r="E83" s="1">
        <v>1.64</v>
      </c>
      <c r="F83" t="s">
        <v>76</v>
      </c>
      <c r="G83" t="s">
        <v>77</v>
      </c>
      <c r="H83" t="s">
        <v>68</v>
      </c>
      <c r="I83" t="s">
        <v>62</v>
      </c>
      <c r="K83" t="s">
        <v>70</v>
      </c>
      <c r="L83" t="s">
        <v>55</v>
      </c>
      <c r="M83" t="s">
        <v>64</v>
      </c>
      <c r="O83" t="s">
        <v>65</v>
      </c>
      <c r="P83" t="s">
        <v>58</v>
      </c>
      <c r="Q83">
        <v>2</v>
      </c>
      <c r="R83" t="s">
        <v>58</v>
      </c>
      <c r="S83">
        <v>2</v>
      </c>
      <c r="T83" t="s">
        <v>59</v>
      </c>
      <c r="U83">
        <v>0</v>
      </c>
      <c r="V83" t="s">
        <v>58</v>
      </c>
      <c r="W83">
        <v>2</v>
      </c>
      <c r="X83" t="s">
        <v>60</v>
      </c>
      <c r="Y83">
        <v>1</v>
      </c>
      <c r="Z83" t="s">
        <v>60</v>
      </c>
      <c r="AA83">
        <v>1</v>
      </c>
      <c r="AB83" t="s">
        <v>60</v>
      </c>
      <c r="AC83">
        <v>1</v>
      </c>
      <c r="AD83" t="s">
        <v>60</v>
      </c>
      <c r="AE83">
        <v>1</v>
      </c>
      <c r="AF83" t="s">
        <v>58</v>
      </c>
      <c r="AG83">
        <v>2</v>
      </c>
      <c r="AH83" t="s">
        <v>58</v>
      </c>
      <c r="AI83">
        <v>2</v>
      </c>
      <c r="AJ83" t="s">
        <v>58</v>
      </c>
      <c r="AK83">
        <v>2</v>
      </c>
      <c r="AL83" t="s">
        <v>58</v>
      </c>
      <c r="AM83">
        <v>2</v>
      </c>
      <c r="AN83" t="s">
        <v>60</v>
      </c>
      <c r="AO83">
        <v>1</v>
      </c>
      <c r="AP83" t="s">
        <v>60</v>
      </c>
      <c r="AQ83">
        <v>1</v>
      </c>
      <c r="AR83" t="s">
        <v>59</v>
      </c>
      <c r="AS83">
        <v>0</v>
      </c>
      <c r="AT83" t="s">
        <v>58</v>
      </c>
      <c r="AU83">
        <v>2</v>
      </c>
      <c r="AV83">
        <f t="shared" si="1"/>
        <v>22</v>
      </c>
      <c r="AW83" t="str">
        <f>IF(Table1[[#This Row],[Pontuação final]]&lt;=2,"Nenhum", IF(Table1[[#This Row],[Pontuação final]]&lt;=12,"Leve", IF(Table1[[#This Row],[Pontuação final]]&lt;=22,"Moderado", "Grave")))</f>
        <v>Moderado</v>
      </c>
    </row>
    <row r="84" spans="1:49" x14ac:dyDescent="0.3">
      <c r="A84">
        <v>84</v>
      </c>
      <c r="B84" t="s">
        <v>49</v>
      </c>
      <c r="C84" s="1">
        <v>19</v>
      </c>
      <c r="D84" s="1">
        <v>50</v>
      </c>
      <c r="E84" s="1">
        <v>1.58</v>
      </c>
      <c r="F84" t="s">
        <v>76</v>
      </c>
      <c r="G84" t="s">
        <v>79</v>
      </c>
      <c r="H84" t="s">
        <v>52</v>
      </c>
      <c r="I84" t="s">
        <v>62</v>
      </c>
      <c r="K84" t="s">
        <v>109</v>
      </c>
      <c r="L84" t="s">
        <v>109</v>
      </c>
      <c r="M84" t="s">
        <v>75</v>
      </c>
      <c r="O84" t="s">
        <v>57</v>
      </c>
      <c r="P84" t="s">
        <v>58</v>
      </c>
      <c r="Q84">
        <v>2</v>
      </c>
      <c r="R84" t="s">
        <v>58</v>
      </c>
      <c r="S84">
        <v>2</v>
      </c>
      <c r="T84" t="s">
        <v>59</v>
      </c>
      <c r="U84">
        <v>0</v>
      </c>
      <c r="V84" t="s">
        <v>58</v>
      </c>
      <c r="W84">
        <v>2</v>
      </c>
      <c r="X84" t="s">
        <v>60</v>
      </c>
      <c r="Y84">
        <v>1</v>
      </c>
      <c r="Z84" t="s">
        <v>59</v>
      </c>
      <c r="AA84">
        <v>0</v>
      </c>
      <c r="AB84" t="s">
        <v>59</v>
      </c>
      <c r="AC84">
        <v>0</v>
      </c>
      <c r="AD84" t="s">
        <v>59</v>
      </c>
      <c r="AE84">
        <v>0</v>
      </c>
      <c r="AF84" t="s">
        <v>60</v>
      </c>
      <c r="AG84">
        <v>1</v>
      </c>
      <c r="AH84" t="s">
        <v>58</v>
      </c>
      <c r="AI84">
        <v>2</v>
      </c>
      <c r="AJ84" t="s">
        <v>58</v>
      </c>
      <c r="AK84">
        <v>2</v>
      </c>
      <c r="AL84" t="s">
        <v>59</v>
      </c>
      <c r="AM84">
        <v>0</v>
      </c>
      <c r="AN84" t="s">
        <v>60</v>
      </c>
      <c r="AO84">
        <v>1</v>
      </c>
      <c r="AP84" t="s">
        <v>59</v>
      </c>
      <c r="AQ84">
        <v>0</v>
      </c>
      <c r="AR84" t="s">
        <v>60</v>
      </c>
      <c r="AS84">
        <v>1</v>
      </c>
      <c r="AT84" t="s">
        <v>58</v>
      </c>
      <c r="AU84">
        <v>2</v>
      </c>
      <c r="AV84">
        <f t="shared" si="1"/>
        <v>16</v>
      </c>
      <c r="AW84" t="str">
        <f>IF(Table1[[#This Row],[Pontuação final]]&lt;=2,"Nenhum", IF(Table1[[#This Row],[Pontuação final]]&lt;=12,"Leve", IF(Table1[[#This Row],[Pontuação final]]&lt;=22,"Moderado", "Grave")))</f>
        <v>Moderado</v>
      </c>
    </row>
    <row r="85" spans="1:49" x14ac:dyDescent="0.3">
      <c r="A85">
        <v>85</v>
      </c>
      <c r="B85" t="s">
        <v>49</v>
      </c>
      <c r="C85" s="1">
        <v>19</v>
      </c>
      <c r="D85" s="1">
        <v>68</v>
      </c>
      <c r="E85" s="1">
        <v>1.75</v>
      </c>
      <c r="F85" t="s">
        <v>50</v>
      </c>
      <c r="G85" t="s">
        <v>77</v>
      </c>
      <c r="H85" t="s">
        <v>52</v>
      </c>
      <c r="I85" t="s">
        <v>80</v>
      </c>
      <c r="K85" t="s">
        <v>70</v>
      </c>
      <c r="L85" t="s">
        <v>55</v>
      </c>
      <c r="M85" t="s">
        <v>64</v>
      </c>
      <c r="O85" t="s">
        <v>65</v>
      </c>
      <c r="P85" t="s">
        <v>58</v>
      </c>
      <c r="Q85">
        <v>2</v>
      </c>
      <c r="R85" t="s">
        <v>59</v>
      </c>
      <c r="S85">
        <v>0</v>
      </c>
      <c r="T85" t="s">
        <v>58</v>
      </c>
      <c r="U85">
        <v>2</v>
      </c>
      <c r="V85" t="s">
        <v>58</v>
      </c>
      <c r="W85">
        <v>2</v>
      </c>
      <c r="X85" t="s">
        <v>58</v>
      </c>
      <c r="Y85">
        <v>2</v>
      </c>
      <c r="Z85" t="s">
        <v>59</v>
      </c>
      <c r="AA85">
        <v>0</v>
      </c>
      <c r="AB85" t="s">
        <v>58</v>
      </c>
      <c r="AC85">
        <v>2</v>
      </c>
      <c r="AD85" t="s">
        <v>59</v>
      </c>
      <c r="AE85">
        <v>0</v>
      </c>
      <c r="AF85" t="s">
        <v>58</v>
      </c>
      <c r="AG85">
        <v>2</v>
      </c>
      <c r="AH85" t="s">
        <v>58</v>
      </c>
      <c r="AI85">
        <v>2</v>
      </c>
      <c r="AJ85" t="s">
        <v>58</v>
      </c>
      <c r="AK85">
        <v>2</v>
      </c>
      <c r="AL85" t="s">
        <v>58</v>
      </c>
      <c r="AM85">
        <v>2</v>
      </c>
      <c r="AN85" t="s">
        <v>58</v>
      </c>
      <c r="AO85">
        <v>2</v>
      </c>
      <c r="AP85" t="s">
        <v>58</v>
      </c>
      <c r="AQ85">
        <v>2</v>
      </c>
      <c r="AR85" t="s">
        <v>59</v>
      </c>
      <c r="AS85">
        <v>0</v>
      </c>
      <c r="AT85" t="s">
        <v>58</v>
      </c>
      <c r="AU85">
        <v>2</v>
      </c>
      <c r="AV85">
        <f t="shared" si="1"/>
        <v>24</v>
      </c>
      <c r="AW85" t="str">
        <f>IF(Table1[[#This Row],[Pontuação final]]&lt;=2,"Nenhum", IF(Table1[[#This Row],[Pontuação final]]&lt;=12,"Leve", IF(Table1[[#This Row],[Pontuação final]]&lt;=22,"Moderado", "Grave")))</f>
        <v>Grave</v>
      </c>
    </row>
    <row r="86" spans="1:49" x14ac:dyDescent="0.3">
      <c r="A86">
        <v>86</v>
      </c>
      <c r="B86" t="s">
        <v>49</v>
      </c>
      <c r="C86" s="1">
        <v>30</v>
      </c>
      <c r="D86" s="1">
        <v>108</v>
      </c>
      <c r="E86" s="1">
        <v>1.75</v>
      </c>
      <c r="F86" t="s">
        <v>94</v>
      </c>
      <c r="G86" t="s">
        <v>90</v>
      </c>
      <c r="H86" t="s">
        <v>68</v>
      </c>
      <c r="I86" t="s">
        <v>72</v>
      </c>
      <c r="K86" t="s">
        <v>91</v>
      </c>
      <c r="L86" t="s">
        <v>55</v>
      </c>
      <c r="M86" t="s">
        <v>75</v>
      </c>
      <c r="O86" t="s">
        <v>57</v>
      </c>
      <c r="P86" t="s">
        <v>58</v>
      </c>
      <c r="Q86">
        <v>2</v>
      </c>
      <c r="R86" t="s">
        <v>60</v>
      </c>
      <c r="S86">
        <v>1</v>
      </c>
      <c r="T86" t="s">
        <v>59</v>
      </c>
      <c r="U86">
        <v>0</v>
      </c>
      <c r="V86" t="s">
        <v>60</v>
      </c>
      <c r="W86">
        <v>1</v>
      </c>
      <c r="X86" t="s">
        <v>59</v>
      </c>
      <c r="Y86">
        <v>0</v>
      </c>
      <c r="Z86" t="s">
        <v>59</v>
      </c>
      <c r="AA86">
        <v>0</v>
      </c>
      <c r="AB86" t="s">
        <v>59</v>
      </c>
      <c r="AC86">
        <v>0</v>
      </c>
      <c r="AD86" t="s">
        <v>59</v>
      </c>
      <c r="AE86">
        <v>0</v>
      </c>
      <c r="AF86" t="s">
        <v>60</v>
      </c>
      <c r="AG86">
        <v>1</v>
      </c>
      <c r="AH86" t="s">
        <v>58</v>
      </c>
      <c r="AI86">
        <v>2</v>
      </c>
      <c r="AJ86" t="s">
        <v>58</v>
      </c>
      <c r="AK86">
        <v>2</v>
      </c>
      <c r="AL86" t="s">
        <v>58</v>
      </c>
      <c r="AM86">
        <v>2</v>
      </c>
      <c r="AN86" t="s">
        <v>59</v>
      </c>
      <c r="AO86">
        <v>0</v>
      </c>
      <c r="AP86" t="s">
        <v>59</v>
      </c>
      <c r="AQ86">
        <v>0</v>
      </c>
      <c r="AR86" t="s">
        <v>59</v>
      </c>
      <c r="AS86">
        <v>0</v>
      </c>
      <c r="AT86" t="s">
        <v>60</v>
      </c>
      <c r="AU86">
        <v>1</v>
      </c>
      <c r="AV86">
        <f t="shared" si="1"/>
        <v>12</v>
      </c>
      <c r="AW86" t="str">
        <f>IF(Table1[[#This Row],[Pontuação final]]&lt;=2,"Nenhum", IF(Table1[[#This Row],[Pontuação final]]&lt;=12,"Leve", IF(Table1[[#This Row],[Pontuação final]]&lt;=22,"Moderado", "Grave")))</f>
        <v>Leve</v>
      </c>
    </row>
    <row r="87" spans="1:49" x14ac:dyDescent="0.3">
      <c r="A87">
        <v>87</v>
      </c>
      <c r="B87" t="s">
        <v>49</v>
      </c>
      <c r="C87" s="1">
        <v>24</v>
      </c>
      <c r="D87" s="1">
        <v>86</v>
      </c>
      <c r="E87" s="1">
        <v>1.86</v>
      </c>
      <c r="F87" t="s">
        <v>61</v>
      </c>
      <c r="G87" t="s">
        <v>102</v>
      </c>
      <c r="H87" t="s">
        <v>68</v>
      </c>
      <c r="I87" t="s">
        <v>72</v>
      </c>
      <c r="K87" t="s">
        <v>70</v>
      </c>
      <c r="L87" t="s">
        <v>55</v>
      </c>
      <c r="M87" t="s">
        <v>64</v>
      </c>
      <c r="O87" t="s">
        <v>65</v>
      </c>
      <c r="P87" t="s">
        <v>58</v>
      </c>
      <c r="Q87">
        <v>2</v>
      </c>
      <c r="R87" t="s">
        <v>58</v>
      </c>
      <c r="S87">
        <v>2</v>
      </c>
      <c r="T87" t="s">
        <v>58</v>
      </c>
      <c r="U87">
        <v>2</v>
      </c>
      <c r="V87" t="s">
        <v>58</v>
      </c>
      <c r="W87">
        <v>2</v>
      </c>
      <c r="X87" t="s">
        <v>60</v>
      </c>
      <c r="Y87">
        <v>1</v>
      </c>
      <c r="Z87" t="s">
        <v>59</v>
      </c>
      <c r="AA87">
        <v>0</v>
      </c>
      <c r="AB87" t="s">
        <v>59</v>
      </c>
      <c r="AC87">
        <v>0</v>
      </c>
      <c r="AD87" t="s">
        <v>59</v>
      </c>
      <c r="AE87">
        <v>0</v>
      </c>
      <c r="AF87" t="s">
        <v>60</v>
      </c>
      <c r="AG87">
        <v>1</v>
      </c>
      <c r="AH87" t="s">
        <v>58</v>
      </c>
      <c r="AI87">
        <v>2</v>
      </c>
      <c r="AJ87" t="s">
        <v>58</v>
      </c>
      <c r="AK87">
        <v>2</v>
      </c>
      <c r="AL87" t="s">
        <v>58</v>
      </c>
      <c r="AM87">
        <v>2</v>
      </c>
      <c r="AN87" t="s">
        <v>60</v>
      </c>
      <c r="AO87">
        <v>1</v>
      </c>
      <c r="AP87" t="s">
        <v>59</v>
      </c>
      <c r="AQ87">
        <v>0</v>
      </c>
      <c r="AR87" t="s">
        <v>59</v>
      </c>
      <c r="AS87">
        <v>0</v>
      </c>
      <c r="AT87" t="s">
        <v>58</v>
      </c>
      <c r="AU87">
        <v>2</v>
      </c>
      <c r="AV87">
        <f t="shared" si="1"/>
        <v>19</v>
      </c>
      <c r="AW87" t="str">
        <f>IF(Table1[[#This Row],[Pontuação final]]&lt;=2,"Nenhum", IF(Table1[[#This Row],[Pontuação final]]&lt;=12,"Leve", IF(Table1[[#This Row],[Pontuação final]]&lt;=22,"Moderado", "Grave")))</f>
        <v>Moderado</v>
      </c>
    </row>
    <row r="88" spans="1:49" x14ac:dyDescent="0.3">
      <c r="A88">
        <v>88</v>
      </c>
      <c r="B88" t="s">
        <v>66</v>
      </c>
      <c r="C88" s="1">
        <v>22</v>
      </c>
      <c r="D88" s="1">
        <v>108</v>
      </c>
      <c r="E88">
        <v>1.65</v>
      </c>
      <c r="F88" t="s">
        <v>76</v>
      </c>
      <c r="G88" t="s">
        <v>90</v>
      </c>
      <c r="H88" t="s">
        <v>68</v>
      </c>
      <c r="I88" t="s">
        <v>72</v>
      </c>
      <c r="K88" t="s">
        <v>161</v>
      </c>
      <c r="L88" t="s">
        <v>55</v>
      </c>
      <c r="M88" t="s">
        <v>75</v>
      </c>
      <c r="O88" t="s">
        <v>82</v>
      </c>
      <c r="P88" t="s">
        <v>60</v>
      </c>
      <c r="Q88">
        <v>1</v>
      </c>
      <c r="R88" t="s">
        <v>60</v>
      </c>
      <c r="S88">
        <v>1</v>
      </c>
      <c r="T88" t="s">
        <v>60</v>
      </c>
      <c r="U88">
        <v>1</v>
      </c>
      <c r="V88" t="s">
        <v>58</v>
      </c>
      <c r="W88">
        <v>2</v>
      </c>
      <c r="X88" t="s">
        <v>59</v>
      </c>
      <c r="Y88">
        <v>0</v>
      </c>
      <c r="Z88" t="s">
        <v>59</v>
      </c>
      <c r="AA88">
        <v>0</v>
      </c>
      <c r="AB88" t="s">
        <v>59</v>
      </c>
      <c r="AC88">
        <v>0</v>
      </c>
      <c r="AD88" t="s">
        <v>59</v>
      </c>
      <c r="AE88">
        <v>0</v>
      </c>
      <c r="AF88" t="s">
        <v>60</v>
      </c>
      <c r="AG88">
        <v>1</v>
      </c>
      <c r="AH88" t="s">
        <v>59</v>
      </c>
      <c r="AI88">
        <v>0</v>
      </c>
      <c r="AJ88" t="s">
        <v>59</v>
      </c>
      <c r="AK88">
        <v>0</v>
      </c>
      <c r="AL88" t="s">
        <v>60</v>
      </c>
      <c r="AM88">
        <v>1</v>
      </c>
      <c r="AN88" t="s">
        <v>59</v>
      </c>
      <c r="AO88">
        <v>0</v>
      </c>
      <c r="AP88" t="s">
        <v>59</v>
      </c>
      <c r="AQ88">
        <v>0</v>
      </c>
      <c r="AR88" t="s">
        <v>59</v>
      </c>
      <c r="AS88">
        <v>0</v>
      </c>
      <c r="AT88" t="s">
        <v>60</v>
      </c>
      <c r="AU88">
        <v>1</v>
      </c>
      <c r="AV88">
        <f t="shared" si="1"/>
        <v>8</v>
      </c>
      <c r="AW88" t="str">
        <f>IF(Table1[[#This Row],[Pontuação final]]&lt;=2,"Nenhum", IF(Table1[[#This Row],[Pontuação final]]&lt;=12,"Leve", IF(Table1[[#This Row],[Pontuação final]]&lt;=22,"Moderado", "Grave")))</f>
        <v>Leve</v>
      </c>
    </row>
    <row r="89" spans="1:49" x14ac:dyDescent="0.3">
      <c r="A89">
        <v>89</v>
      </c>
      <c r="B89" t="s">
        <v>49</v>
      </c>
      <c r="C89" s="1">
        <v>23</v>
      </c>
      <c r="D89" s="1">
        <v>76</v>
      </c>
      <c r="E89" s="1">
        <v>1.78</v>
      </c>
      <c r="F89" t="s">
        <v>61</v>
      </c>
      <c r="G89" t="s">
        <v>67</v>
      </c>
      <c r="H89" t="s">
        <v>68</v>
      </c>
      <c r="I89" t="s">
        <v>80</v>
      </c>
      <c r="K89" t="s">
        <v>160</v>
      </c>
      <c r="L89" t="s">
        <v>55</v>
      </c>
      <c r="M89" t="s">
        <v>56</v>
      </c>
      <c r="O89" t="s">
        <v>82</v>
      </c>
      <c r="P89" t="s">
        <v>58</v>
      </c>
      <c r="Q89">
        <v>2</v>
      </c>
      <c r="R89" t="s">
        <v>59</v>
      </c>
      <c r="S89">
        <v>0</v>
      </c>
      <c r="T89" t="s">
        <v>58</v>
      </c>
      <c r="U89">
        <v>2</v>
      </c>
      <c r="V89" t="s">
        <v>58</v>
      </c>
      <c r="W89">
        <v>2</v>
      </c>
      <c r="X89" t="s">
        <v>60</v>
      </c>
      <c r="Y89">
        <v>1</v>
      </c>
      <c r="Z89" t="s">
        <v>58</v>
      </c>
      <c r="AA89">
        <v>2</v>
      </c>
      <c r="AB89" t="s">
        <v>60</v>
      </c>
      <c r="AC89">
        <v>1</v>
      </c>
      <c r="AD89" t="s">
        <v>59</v>
      </c>
      <c r="AE89">
        <v>0</v>
      </c>
      <c r="AF89" t="s">
        <v>60</v>
      </c>
      <c r="AG89">
        <v>1</v>
      </c>
      <c r="AH89" t="s">
        <v>58</v>
      </c>
      <c r="AI89">
        <v>2</v>
      </c>
      <c r="AJ89" t="s">
        <v>58</v>
      </c>
      <c r="AK89">
        <v>2</v>
      </c>
      <c r="AL89" t="s">
        <v>58</v>
      </c>
      <c r="AM89">
        <v>2</v>
      </c>
      <c r="AN89" t="s">
        <v>60</v>
      </c>
      <c r="AO89">
        <v>1</v>
      </c>
      <c r="AP89" t="s">
        <v>60</v>
      </c>
      <c r="AQ89">
        <v>1</v>
      </c>
      <c r="AR89" t="s">
        <v>59</v>
      </c>
      <c r="AS89">
        <v>0</v>
      </c>
      <c r="AT89" t="s">
        <v>58</v>
      </c>
      <c r="AU89">
        <v>2</v>
      </c>
      <c r="AV89">
        <f t="shared" si="1"/>
        <v>21</v>
      </c>
      <c r="AW89" t="str">
        <f>IF(Table1[[#This Row],[Pontuação final]]&lt;=2,"Nenhum", IF(Table1[[#This Row],[Pontuação final]]&lt;=12,"Leve", IF(Table1[[#This Row],[Pontuação final]]&lt;=22,"Moderado", "Grave")))</f>
        <v>Moderado</v>
      </c>
    </row>
    <row r="90" spans="1:49" x14ac:dyDescent="0.3">
      <c r="A90">
        <v>90</v>
      </c>
      <c r="B90" t="s">
        <v>66</v>
      </c>
      <c r="C90" s="1">
        <v>21</v>
      </c>
      <c r="D90" s="1">
        <v>60</v>
      </c>
      <c r="E90">
        <v>1.83</v>
      </c>
      <c r="F90" t="s">
        <v>61</v>
      </c>
      <c r="G90" t="s">
        <v>71</v>
      </c>
      <c r="H90" t="s">
        <v>68</v>
      </c>
      <c r="I90" t="s">
        <v>53</v>
      </c>
      <c r="K90" t="s">
        <v>70</v>
      </c>
      <c r="L90" t="s">
        <v>55</v>
      </c>
      <c r="M90" t="s">
        <v>56</v>
      </c>
      <c r="O90" t="s">
        <v>65</v>
      </c>
      <c r="P90" t="s">
        <v>58</v>
      </c>
      <c r="Q90">
        <v>2</v>
      </c>
      <c r="R90" t="s">
        <v>58</v>
      </c>
      <c r="S90">
        <v>2</v>
      </c>
      <c r="T90" t="s">
        <v>58</v>
      </c>
      <c r="U90">
        <v>2</v>
      </c>
      <c r="V90" t="s">
        <v>58</v>
      </c>
      <c r="W90">
        <v>2</v>
      </c>
      <c r="X90" t="s">
        <v>60</v>
      </c>
      <c r="Y90">
        <v>1</v>
      </c>
      <c r="Z90" t="s">
        <v>59</v>
      </c>
      <c r="AA90">
        <v>0</v>
      </c>
      <c r="AB90" t="s">
        <v>60</v>
      </c>
      <c r="AC90">
        <v>1</v>
      </c>
      <c r="AD90" t="s">
        <v>59</v>
      </c>
      <c r="AE90">
        <v>0</v>
      </c>
      <c r="AF90" t="s">
        <v>60</v>
      </c>
      <c r="AG90">
        <v>1</v>
      </c>
      <c r="AH90" t="s">
        <v>59</v>
      </c>
      <c r="AI90">
        <v>0</v>
      </c>
      <c r="AJ90" t="s">
        <v>60</v>
      </c>
      <c r="AK90">
        <v>1</v>
      </c>
      <c r="AL90" t="s">
        <v>58</v>
      </c>
      <c r="AM90">
        <v>2</v>
      </c>
      <c r="AN90" t="s">
        <v>59</v>
      </c>
      <c r="AO90">
        <v>0</v>
      </c>
      <c r="AP90" t="s">
        <v>60</v>
      </c>
      <c r="AQ90">
        <v>1</v>
      </c>
      <c r="AR90" t="s">
        <v>59</v>
      </c>
      <c r="AS90">
        <v>0</v>
      </c>
      <c r="AT90" t="s">
        <v>58</v>
      </c>
      <c r="AU90">
        <v>2</v>
      </c>
      <c r="AV90">
        <f t="shared" si="1"/>
        <v>17</v>
      </c>
      <c r="AW90" t="str">
        <f>IF(Table1[[#This Row],[Pontuação final]]&lt;=2,"Nenhum", IF(Table1[[#This Row],[Pontuação final]]&lt;=12,"Leve", IF(Table1[[#This Row],[Pontuação final]]&lt;=22,"Moderado", "Grave")))</f>
        <v>Moderado</v>
      </c>
    </row>
    <row r="91" spans="1:49" x14ac:dyDescent="0.3">
      <c r="A91">
        <v>91</v>
      </c>
      <c r="B91" t="s">
        <v>66</v>
      </c>
      <c r="C91" s="1">
        <v>20</v>
      </c>
      <c r="D91">
        <v>71</v>
      </c>
      <c r="E91" s="1">
        <v>1.63</v>
      </c>
      <c r="F91" t="s">
        <v>61</v>
      </c>
      <c r="G91" t="s">
        <v>85</v>
      </c>
      <c r="H91" t="s">
        <v>68</v>
      </c>
      <c r="I91" t="s">
        <v>62</v>
      </c>
      <c r="K91" t="s">
        <v>70</v>
      </c>
      <c r="L91" t="s">
        <v>55</v>
      </c>
      <c r="M91" t="s">
        <v>64</v>
      </c>
      <c r="O91" t="s">
        <v>57</v>
      </c>
      <c r="P91" t="s">
        <v>58</v>
      </c>
      <c r="Q91">
        <v>2</v>
      </c>
      <c r="R91" t="s">
        <v>59</v>
      </c>
      <c r="S91">
        <v>0</v>
      </c>
      <c r="T91" t="s">
        <v>59</v>
      </c>
      <c r="U91">
        <v>0</v>
      </c>
      <c r="V91" t="s">
        <v>58</v>
      </c>
      <c r="W91">
        <v>2</v>
      </c>
      <c r="X91" t="s">
        <v>59</v>
      </c>
      <c r="Y91">
        <v>0</v>
      </c>
      <c r="Z91" t="s">
        <v>59</v>
      </c>
      <c r="AA91">
        <v>0</v>
      </c>
      <c r="AB91" t="s">
        <v>59</v>
      </c>
      <c r="AC91">
        <v>0</v>
      </c>
      <c r="AD91" t="s">
        <v>60</v>
      </c>
      <c r="AE91">
        <v>1</v>
      </c>
      <c r="AF91" t="s">
        <v>60</v>
      </c>
      <c r="AG91">
        <v>1</v>
      </c>
      <c r="AH91" t="s">
        <v>58</v>
      </c>
      <c r="AI91">
        <v>2</v>
      </c>
      <c r="AJ91" t="s">
        <v>59</v>
      </c>
      <c r="AK91">
        <v>0</v>
      </c>
      <c r="AL91" t="s">
        <v>60</v>
      </c>
      <c r="AM91">
        <v>1</v>
      </c>
      <c r="AN91" t="s">
        <v>59</v>
      </c>
      <c r="AO91">
        <v>0</v>
      </c>
      <c r="AP91" t="s">
        <v>59</v>
      </c>
      <c r="AQ91">
        <v>0</v>
      </c>
      <c r="AR91" t="s">
        <v>59</v>
      </c>
      <c r="AS91">
        <v>0</v>
      </c>
      <c r="AT91" t="s">
        <v>60</v>
      </c>
      <c r="AU91">
        <v>1</v>
      </c>
      <c r="AV91">
        <f t="shared" si="1"/>
        <v>10</v>
      </c>
      <c r="AW91" t="str">
        <f>IF(Table1[[#This Row],[Pontuação final]]&lt;=2,"Nenhum", IF(Table1[[#This Row],[Pontuação final]]&lt;=12,"Leve", IF(Table1[[#This Row],[Pontuação final]]&lt;=22,"Moderado", "Grave")))</f>
        <v>Leve</v>
      </c>
    </row>
    <row r="92" spans="1:49" x14ac:dyDescent="0.3">
      <c r="A92">
        <v>92</v>
      </c>
      <c r="B92" t="s">
        <v>49</v>
      </c>
      <c r="C92" s="1">
        <v>20</v>
      </c>
      <c r="D92" s="1">
        <v>80</v>
      </c>
      <c r="E92">
        <v>1.75</v>
      </c>
      <c r="F92" t="s">
        <v>94</v>
      </c>
      <c r="G92" t="s">
        <v>83</v>
      </c>
      <c r="H92" t="s">
        <v>52</v>
      </c>
      <c r="I92" t="s">
        <v>162</v>
      </c>
      <c r="J92" t="s">
        <v>163</v>
      </c>
      <c r="K92" t="s">
        <v>70</v>
      </c>
      <c r="L92" t="s">
        <v>55</v>
      </c>
      <c r="M92" t="s">
        <v>56</v>
      </c>
      <c r="O92" t="s">
        <v>65</v>
      </c>
      <c r="P92" t="s">
        <v>58</v>
      </c>
      <c r="Q92">
        <v>2</v>
      </c>
      <c r="R92" t="s">
        <v>58</v>
      </c>
      <c r="S92">
        <v>2</v>
      </c>
      <c r="T92" t="s">
        <v>58</v>
      </c>
      <c r="U92">
        <v>2</v>
      </c>
      <c r="V92" t="s">
        <v>58</v>
      </c>
      <c r="W92">
        <v>2</v>
      </c>
      <c r="X92" t="s">
        <v>60</v>
      </c>
      <c r="Y92">
        <v>1</v>
      </c>
      <c r="Z92" t="s">
        <v>60</v>
      </c>
      <c r="AA92">
        <v>1</v>
      </c>
      <c r="AB92" t="s">
        <v>58</v>
      </c>
      <c r="AC92">
        <v>2</v>
      </c>
      <c r="AD92" t="s">
        <v>58</v>
      </c>
      <c r="AE92">
        <v>2</v>
      </c>
      <c r="AF92" t="s">
        <v>60</v>
      </c>
      <c r="AG92">
        <v>1</v>
      </c>
      <c r="AH92" t="s">
        <v>60</v>
      </c>
      <c r="AI92">
        <v>1</v>
      </c>
      <c r="AJ92" t="s">
        <v>59</v>
      </c>
      <c r="AK92">
        <v>0</v>
      </c>
      <c r="AL92" t="s">
        <v>58</v>
      </c>
      <c r="AM92">
        <v>2</v>
      </c>
      <c r="AN92" t="s">
        <v>60</v>
      </c>
      <c r="AO92">
        <v>1</v>
      </c>
      <c r="AP92" t="s">
        <v>59</v>
      </c>
      <c r="AQ92">
        <v>0</v>
      </c>
      <c r="AR92" t="s">
        <v>59</v>
      </c>
      <c r="AS92">
        <v>0</v>
      </c>
      <c r="AT92" t="s">
        <v>58</v>
      </c>
      <c r="AU92">
        <v>2</v>
      </c>
      <c r="AV92">
        <f t="shared" si="1"/>
        <v>21</v>
      </c>
      <c r="AW92" t="str">
        <f>IF(Table1[[#This Row],[Pontuação final]]&lt;=2,"Nenhum", IF(Table1[[#This Row],[Pontuação final]]&lt;=12,"Leve", IF(Table1[[#This Row],[Pontuação final]]&lt;=22,"Moderado", "Grave")))</f>
        <v>Moderado</v>
      </c>
    </row>
    <row r="93" spans="1:49" x14ac:dyDescent="0.3">
      <c r="A93">
        <v>93</v>
      </c>
      <c r="B93" t="s">
        <v>49</v>
      </c>
      <c r="C93" s="1">
        <v>20</v>
      </c>
      <c r="D93" s="1">
        <v>70</v>
      </c>
      <c r="E93">
        <v>1.72</v>
      </c>
      <c r="F93" t="s">
        <v>50</v>
      </c>
      <c r="G93" t="s">
        <v>51</v>
      </c>
      <c r="H93" t="s">
        <v>68</v>
      </c>
      <c r="I93" t="s">
        <v>80</v>
      </c>
      <c r="K93" t="s">
        <v>164</v>
      </c>
      <c r="L93" t="s">
        <v>55</v>
      </c>
      <c r="M93" t="s">
        <v>56</v>
      </c>
      <c r="O93" t="s">
        <v>57</v>
      </c>
      <c r="P93" t="s">
        <v>58</v>
      </c>
      <c r="Q93">
        <v>2</v>
      </c>
      <c r="R93" t="s">
        <v>58</v>
      </c>
      <c r="S93">
        <v>2</v>
      </c>
      <c r="T93" t="s">
        <v>59</v>
      </c>
      <c r="U93">
        <v>0</v>
      </c>
      <c r="V93" t="s">
        <v>60</v>
      </c>
      <c r="W93">
        <v>1</v>
      </c>
      <c r="X93" t="s">
        <v>59</v>
      </c>
      <c r="Y93">
        <v>0</v>
      </c>
      <c r="Z93" t="s">
        <v>58</v>
      </c>
      <c r="AA93">
        <v>2</v>
      </c>
      <c r="AB93" t="s">
        <v>59</v>
      </c>
      <c r="AC93">
        <v>0</v>
      </c>
      <c r="AD93" t="s">
        <v>60</v>
      </c>
      <c r="AE93">
        <v>1</v>
      </c>
      <c r="AF93" t="s">
        <v>60</v>
      </c>
      <c r="AG93">
        <v>1</v>
      </c>
      <c r="AH93" t="s">
        <v>60</v>
      </c>
      <c r="AI93">
        <v>1</v>
      </c>
      <c r="AJ93" t="s">
        <v>59</v>
      </c>
      <c r="AK93">
        <v>0</v>
      </c>
      <c r="AL93" t="s">
        <v>60</v>
      </c>
      <c r="AM93">
        <v>1</v>
      </c>
      <c r="AN93" t="s">
        <v>59</v>
      </c>
      <c r="AO93">
        <v>0</v>
      </c>
      <c r="AP93" t="s">
        <v>58</v>
      </c>
      <c r="AQ93">
        <v>2</v>
      </c>
      <c r="AR93" t="s">
        <v>59</v>
      </c>
      <c r="AS93">
        <v>0</v>
      </c>
      <c r="AT93" t="s">
        <v>58</v>
      </c>
      <c r="AU93">
        <v>2</v>
      </c>
      <c r="AV93">
        <f t="shared" si="1"/>
        <v>15</v>
      </c>
      <c r="AW93" t="str">
        <f>IF(Table1[[#This Row],[Pontuação final]]&lt;=2,"Nenhum", IF(Table1[[#This Row],[Pontuação final]]&lt;=12,"Leve", IF(Table1[[#This Row],[Pontuação final]]&lt;=22,"Moderado", "Grave")))</f>
        <v>Moderado</v>
      </c>
    </row>
    <row r="94" spans="1:49" x14ac:dyDescent="0.3">
      <c r="A94">
        <v>94</v>
      </c>
      <c r="B94" t="s">
        <v>49</v>
      </c>
      <c r="C94" s="1">
        <v>19</v>
      </c>
      <c r="D94" s="1">
        <v>55</v>
      </c>
      <c r="E94" s="1">
        <v>1.75</v>
      </c>
      <c r="F94" t="s">
        <v>50</v>
      </c>
      <c r="G94" t="s">
        <v>51</v>
      </c>
      <c r="H94" t="s">
        <v>52</v>
      </c>
      <c r="I94" t="s">
        <v>62</v>
      </c>
      <c r="K94" t="s">
        <v>117</v>
      </c>
      <c r="L94" t="s">
        <v>55</v>
      </c>
      <c r="M94" t="s">
        <v>64</v>
      </c>
      <c r="O94" t="s">
        <v>57</v>
      </c>
      <c r="P94" t="s">
        <v>60</v>
      </c>
      <c r="Q94">
        <v>1</v>
      </c>
      <c r="R94" t="s">
        <v>58</v>
      </c>
      <c r="S94">
        <v>2</v>
      </c>
      <c r="T94" t="s">
        <v>59</v>
      </c>
      <c r="U94">
        <v>0</v>
      </c>
      <c r="V94" t="s">
        <v>58</v>
      </c>
      <c r="W94">
        <v>2</v>
      </c>
      <c r="X94" t="s">
        <v>59</v>
      </c>
      <c r="Y94">
        <v>0</v>
      </c>
      <c r="Z94" t="s">
        <v>60</v>
      </c>
      <c r="AA94">
        <v>1</v>
      </c>
      <c r="AB94" t="s">
        <v>59</v>
      </c>
      <c r="AC94">
        <v>0</v>
      </c>
      <c r="AD94" t="s">
        <v>59</v>
      </c>
      <c r="AE94">
        <v>0</v>
      </c>
      <c r="AF94" t="s">
        <v>59</v>
      </c>
      <c r="AG94">
        <v>0</v>
      </c>
      <c r="AH94" t="s">
        <v>59</v>
      </c>
      <c r="AI94">
        <v>0</v>
      </c>
      <c r="AJ94" t="s">
        <v>59</v>
      </c>
      <c r="AK94">
        <v>0</v>
      </c>
      <c r="AL94" t="s">
        <v>59</v>
      </c>
      <c r="AM94">
        <v>0</v>
      </c>
      <c r="AN94" t="s">
        <v>59</v>
      </c>
      <c r="AO94">
        <v>0</v>
      </c>
      <c r="AP94" t="s">
        <v>59</v>
      </c>
      <c r="AQ94">
        <v>0</v>
      </c>
      <c r="AR94" t="s">
        <v>59</v>
      </c>
      <c r="AS94">
        <v>0</v>
      </c>
      <c r="AT94" t="s">
        <v>60</v>
      </c>
      <c r="AU94">
        <v>1</v>
      </c>
      <c r="AV94">
        <f t="shared" si="1"/>
        <v>7</v>
      </c>
      <c r="AW94" t="str">
        <f>IF(Table1[[#This Row],[Pontuação final]]&lt;=2,"Nenhum", IF(Table1[[#This Row],[Pontuação final]]&lt;=12,"Leve", IF(Table1[[#This Row],[Pontuação final]]&lt;=22,"Moderado", "Grave")))</f>
        <v>Leve</v>
      </c>
    </row>
    <row r="95" spans="1:49" x14ac:dyDescent="0.3">
      <c r="A95">
        <v>95</v>
      </c>
      <c r="B95" t="s">
        <v>49</v>
      </c>
      <c r="C95" s="1">
        <v>19</v>
      </c>
      <c r="D95" s="1">
        <v>70</v>
      </c>
      <c r="E95" s="1">
        <v>1.7</v>
      </c>
      <c r="F95" t="s">
        <v>50</v>
      </c>
      <c r="G95" t="s">
        <v>85</v>
      </c>
      <c r="H95" t="s">
        <v>52</v>
      </c>
      <c r="I95" t="s">
        <v>62</v>
      </c>
      <c r="K95" t="s">
        <v>165</v>
      </c>
      <c r="L95" t="s">
        <v>74</v>
      </c>
      <c r="M95" t="s">
        <v>64</v>
      </c>
      <c r="O95" t="s">
        <v>82</v>
      </c>
      <c r="P95" t="s">
        <v>58</v>
      </c>
      <c r="Q95">
        <v>2</v>
      </c>
      <c r="R95" t="s">
        <v>58</v>
      </c>
      <c r="S95">
        <v>2</v>
      </c>
      <c r="T95" t="s">
        <v>59</v>
      </c>
      <c r="U95">
        <v>0</v>
      </c>
      <c r="V95" t="s">
        <v>60</v>
      </c>
      <c r="W95">
        <v>1</v>
      </c>
      <c r="X95" t="s">
        <v>59</v>
      </c>
      <c r="Y95">
        <v>0</v>
      </c>
      <c r="Z95" t="s">
        <v>60</v>
      </c>
      <c r="AA95">
        <v>1</v>
      </c>
      <c r="AB95" t="s">
        <v>59</v>
      </c>
      <c r="AC95">
        <v>0</v>
      </c>
      <c r="AD95" t="s">
        <v>60</v>
      </c>
      <c r="AE95">
        <v>1</v>
      </c>
      <c r="AF95" t="s">
        <v>58</v>
      </c>
      <c r="AG95">
        <v>2</v>
      </c>
      <c r="AH95" t="s">
        <v>59</v>
      </c>
      <c r="AI95">
        <v>0</v>
      </c>
      <c r="AJ95" t="s">
        <v>59</v>
      </c>
      <c r="AK95">
        <v>0</v>
      </c>
      <c r="AL95" t="s">
        <v>58</v>
      </c>
      <c r="AM95">
        <v>2</v>
      </c>
      <c r="AN95" t="s">
        <v>60</v>
      </c>
      <c r="AO95">
        <v>1</v>
      </c>
      <c r="AP95" t="s">
        <v>59</v>
      </c>
      <c r="AQ95">
        <v>0</v>
      </c>
      <c r="AR95" t="s">
        <v>59</v>
      </c>
      <c r="AS95">
        <v>0</v>
      </c>
      <c r="AT95" t="s">
        <v>58</v>
      </c>
      <c r="AU95">
        <v>2</v>
      </c>
      <c r="AV95">
        <f t="shared" si="1"/>
        <v>14</v>
      </c>
      <c r="AW95" t="str">
        <f>IF(Table1[[#This Row],[Pontuação final]]&lt;=2,"Nenhum", IF(Table1[[#This Row],[Pontuação final]]&lt;=12,"Leve", IF(Table1[[#This Row],[Pontuação final]]&lt;=22,"Moderado", "Grave")))</f>
        <v>Moderado</v>
      </c>
    </row>
    <row r="96" spans="1:49" x14ac:dyDescent="0.3">
      <c r="A96">
        <v>96</v>
      </c>
      <c r="B96" t="s">
        <v>49</v>
      </c>
      <c r="C96" s="1">
        <v>20</v>
      </c>
      <c r="D96" s="1">
        <v>69</v>
      </c>
      <c r="E96">
        <v>1.65</v>
      </c>
      <c r="F96" t="s">
        <v>61</v>
      </c>
      <c r="G96" t="s">
        <v>77</v>
      </c>
      <c r="H96" t="s">
        <v>52</v>
      </c>
      <c r="I96" t="s">
        <v>53</v>
      </c>
      <c r="K96" t="s">
        <v>70</v>
      </c>
      <c r="L96" t="s">
        <v>55</v>
      </c>
      <c r="M96" t="s">
        <v>75</v>
      </c>
      <c r="O96" t="s">
        <v>57</v>
      </c>
      <c r="P96" t="s">
        <v>58</v>
      </c>
      <c r="Q96">
        <v>2</v>
      </c>
      <c r="R96" t="s">
        <v>58</v>
      </c>
      <c r="S96">
        <v>2</v>
      </c>
      <c r="T96" t="s">
        <v>58</v>
      </c>
      <c r="U96">
        <v>2</v>
      </c>
      <c r="V96" t="s">
        <v>58</v>
      </c>
      <c r="W96">
        <v>2</v>
      </c>
      <c r="X96" t="s">
        <v>59</v>
      </c>
      <c r="Y96">
        <v>0</v>
      </c>
      <c r="Z96" t="s">
        <v>59</v>
      </c>
      <c r="AA96">
        <v>0</v>
      </c>
      <c r="AB96" t="s">
        <v>59</v>
      </c>
      <c r="AC96">
        <v>0</v>
      </c>
      <c r="AD96" t="s">
        <v>59</v>
      </c>
      <c r="AE96">
        <v>0</v>
      </c>
      <c r="AF96" t="s">
        <v>60</v>
      </c>
      <c r="AG96">
        <v>1</v>
      </c>
      <c r="AH96" t="s">
        <v>58</v>
      </c>
      <c r="AI96">
        <v>2</v>
      </c>
      <c r="AJ96" t="s">
        <v>58</v>
      </c>
      <c r="AK96">
        <v>2</v>
      </c>
      <c r="AL96" t="s">
        <v>60</v>
      </c>
      <c r="AM96">
        <v>1</v>
      </c>
      <c r="AN96" t="s">
        <v>60</v>
      </c>
      <c r="AO96">
        <v>1</v>
      </c>
      <c r="AP96" t="s">
        <v>59</v>
      </c>
      <c r="AQ96">
        <v>0</v>
      </c>
      <c r="AR96" t="s">
        <v>59</v>
      </c>
      <c r="AS96">
        <v>0</v>
      </c>
      <c r="AT96" t="s">
        <v>58</v>
      </c>
      <c r="AU96">
        <v>2</v>
      </c>
      <c r="AV96">
        <f t="shared" si="1"/>
        <v>17</v>
      </c>
      <c r="AW96" t="str">
        <f>IF(Table1[[#This Row],[Pontuação final]]&lt;=2,"Nenhum", IF(Table1[[#This Row],[Pontuação final]]&lt;=12,"Leve", IF(Table1[[#This Row],[Pontuação final]]&lt;=22,"Moderado", "Grave")))</f>
        <v>Moderado</v>
      </c>
    </row>
    <row r="97" spans="1:49" x14ac:dyDescent="0.3">
      <c r="A97">
        <v>97</v>
      </c>
      <c r="B97" t="s">
        <v>49</v>
      </c>
      <c r="C97" s="1">
        <v>25</v>
      </c>
      <c r="D97" s="1">
        <v>80</v>
      </c>
      <c r="E97" s="1">
        <v>1.7</v>
      </c>
      <c r="F97" t="s">
        <v>50</v>
      </c>
      <c r="G97" t="s">
        <v>51</v>
      </c>
      <c r="H97" t="s">
        <v>52</v>
      </c>
      <c r="I97" t="s">
        <v>53</v>
      </c>
      <c r="K97" t="s">
        <v>166</v>
      </c>
      <c r="L97" t="s">
        <v>55</v>
      </c>
      <c r="M97" t="s">
        <v>64</v>
      </c>
      <c r="O97" t="s">
        <v>65</v>
      </c>
      <c r="P97" t="s">
        <v>58</v>
      </c>
      <c r="Q97">
        <v>2</v>
      </c>
      <c r="R97" t="s">
        <v>60</v>
      </c>
      <c r="S97">
        <v>1</v>
      </c>
      <c r="T97" t="s">
        <v>60</v>
      </c>
      <c r="U97">
        <v>1</v>
      </c>
      <c r="V97" t="s">
        <v>58</v>
      </c>
      <c r="W97">
        <v>2</v>
      </c>
      <c r="X97" t="s">
        <v>59</v>
      </c>
      <c r="Y97">
        <v>0</v>
      </c>
      <c r="Z97" t="s">
        <v>59</v>
      </c>
      <c r="AA97">
        <v>0</v>
      </c>
      <c r="AB97" t="s">
        <v>59</v>
      </c>
      <c r="AC97">
        <v>0</v>
      </c>
      <c r="AD97" t="s">
        <v>60</v>
      </c>
      <c r="AE97">
        <v>1</v>
      </c>
      <c r="AF97" t="s">
        <v>60</v>
      </c>
      <c r="AG97">
        <v>1</v>
      </c>
      <c r="AH97" t="s">
        <v>60</v>
      </c>
      <c r="AI97">
        <v>1</v>
      </c>
      <c r="AJ97" t="s">
        <v>59</v>
      </c>
      <c r="AK97">
        <v>0</v>
      </c>
      <c r="AL97" t="s">
        <v>60</v>
      </c>
      <c r="AM97">
        <v>1</v>
      </c>
      <c r="AN97" t="s">
        <v>60</v>
      </c>
      <c r="AO97">
        <v>1</v>
      </c>
      <c r="AP97" t="s">
        <v>59</v>
      </c>
      <c r="AQ97">
        <v>0</v>
      </c>
      <c r="AR97" t="s">
        <v>59</v>
      </c>
      <c r="AS97">
        <v>0</v>
      </c>
      <c r="AT97" t="s">
        <v>60</v>
      </c>
      <c r="AU97">
        <v>1</v>
      </c>
      <c r="AV97">
        <f t="shared" si="1"/>
        <v>12</v>
      </c>
      <c r="AW97" t="str">
        <f>IF(Table1[[#This Row],[Pontuação final]]&lt;=2,"Nenhum", IF(Table1[[#This Row],[Pontuação final]]&lt;=12,"Leve", IF(Table1[[#This Row],[Pontuação final]]&lt;=22,"Moderado", "Grave")))</f>
        <v>Leve</v>
      </c>
    </row>
    <row r="98" spans="1:49" x14ac:dyDescent="0.3">
      <c r="A98">
        <v>98</v>
      </c>
      <c r="B98" t="s">
        <v>49</v>
      </c>
      <c r="C98" s="1">
        <v>20</v>
      </c>
      <c r="D98">
        <v>70</v>
      </c>
      <c r="E98">
        <v>1.78</v>
      </c>
      <c r="F98" t="s">
        <v>76</v>
      </c>
      <c r="G98" t="s">
        <v>77</v>
      </c>
      <c r="H98" t="s">
        <v>68</v>
      </c>
      <c r="I98" t="s">
        <v>80</v>
      </c>
      <c r="K98" t="s">
        <v>164</v>
      </c>
      <c r="L98" t="s">
        <v>55</v>
      </c>
      <c r="M98" t="s">
        <v>92</v>
      </c>
      <c r="N98" t="s">
        <v>167</v>
      </c>
      <c r="O98" t="s">
        <v>57</v>
      </c>
      <c r="P98" t="s">
        <v>58</v>
      </c>
      <c r="Q98">
        <v>2</v>
      </c>
      <c r="R98" t="s">
        <v>58</v>
      </c>
      <c r="S98">
        <v>2</v>
      </c>
      <c r="T98" t="s">
        <v>58</v>
      </c>
      <c r="U98">
        <v>2</v>
      </c>
      <c r="V98" t="s">
        <v>60</v>
      </c>
      <c r="W98">
        <v>1</v>
      </c>
      <c r="X98" t="s">
        <v>59</v>
      </c>
      <c r="Y98">
        <v>0</v>
      </c>
      <c r="Z98" t="s">
        <v>59</v>
      </c>
      <c r="AA98">
        <v>0</v>
      </c>
      <c r="AB98" t="s">
        <v>59</v>
      </c>
      <c r="AC98">
        <v>0</v>
      </c>
      <c r="AD98" t="s">
        <v>58</v>
      </c>
      <c r="AE98">
        <v>2</v>
      </c>
      <c r="AF98" t="s">
        <v>59</v>
      </c>
      <c r="AG98">
        <v>0</v>
      </c>
      <c r="AH98" t="s">
        <v>60</v>
      </c>
      <c r="AI98">
        <v>1</v>
      </c>
      <c r="AJ98" t="s">
        <v>59</v>
      </c>
      <c r="AK98">
        <v>0</v>
      </c>
      <c r="AL98" t="s">
        <v>60</v>
      </c>
      <c r="AM98">
        <v>1</v>
      </c>
      <c r="AN98" t="s">
        <v>59</v>
      </c>
      <c r="AO98">
        <v>0</v>
      </c>
      <c r="AP98" t="s">
        <v>59</v>
      </c>
      <c r="AQ98">
        <v>0</v>
      </c>
      <c r="AR98" t="s">
        <v>59</v>
      </c>
      <c r="AS98">
        <v>0</v>
      </c>
      <c r="AT98" t="s">
        <v>60</v>
      </c>
      <c r="AU98">
        <v>1</v>
      </c>
      <c r="AV98">
        <f t="shared" si="1"/>
        <v>12</v>
      </c>
      <c r="AW98" t="str">
        <f>IF(Table1[[#This Row],[Pontuação final]]&lt;=2,"Nenhum", IF(Table1[[#This Row],[Pontuação final]]&lt;=12,"Leve", IF(Table1[[#This Row],[Pontuação final]]&lt;=22,"Moderado", "Grave")))</f>
        <v>Leve</v>
      </c>
    </row>
    <row r="99" spans="1:49" x14ac:dyDescent="0.3">
      <c r="A99">
        <v>99</v>
      </c>
      <c r="B99" t="s">
        <v>49</v>
      </c>
      <c r="C99" s="1">
        <v>17</v>
      </c>
      <c r="D99" s="1">
        <v>60</v>
      </c>
      <c r="E99" s="1">
        <v>1.69</v>
      </c>
      <c r="F99" t="s">
        <v>50</v>
      </c>
      <c r="G99" t="s">
        <v>79</v>
      </c>
      <c r="H99" t="s">
        <v>52</v>
      </c>
      <c r="I99" t="s">
        <v>62</v>
      </c>
      <c r="K99" t="s">
        <v>168</v>
      </c>
      <c r="L99" t="s">
        <v>55</v>
      </c>
      <c r="M99" t="s">
        <v>75</v>
      </c>
      <c r="O99" t="s">
        <v>65</v>
      </c>
      <c r="P99" t="s">
        <v>58</v>
      </c>
      <c r="Q99">
        <v>2</v>
      </c>
      <c r="R99" t="s">
        <v>60</v>
      </c>
      <c r="S99">
        <v>1</v>
      </c>
      <c r="T99" t="s">
        <v>60</v>
      </c>
      <c r="U99">
        <v>1</v>
      </c>
      <c r="V99" t="s">
        <v>58</v>
      </c>
      <c r="W99">
        <v>2</v>
      </c>
      <c r="X99" t="s">
        <v>60</v>
      </c>
      <c r="Y99">
        <v>1</v>
      </c>
      <c r="Z99" t="s">
        <v>59</v>
      </c>
      <c r="AA99">
        <v>0</v>
      </c>
      <c r="AB99" t="s">
        <v>60</v>
      </c>
      <c r="AC99">
        <v>1</v>
      </c>
      <c r="AD99" t="s">
        <v>58</v>
      </c>
      <c r="AE99">
        <v>2</v>
      </c>
      <c r="AF99" t="s">
        <v>60</v>
      </c>
      <c r="AG99">
        <v>1</v>
      </c>
      <c r="AH99" t="s">
        <v>60</v>
      </c>
      <c r="AI99">
        <v>1</v>
      </c>
      <c r="AJ99" t="s">
        <v>58</v>
      </c>
      <c r="AK99">
        <v>2</v>
      </c>
      <c r="AL99" t="s">
        <v>58</v>
      </c>
      <c r="AM99">
        <v>2</v>
      </c>
      <c r="AN99" t="s">
        <v>59</v>
      </c>
      <c r="AO99">
        <v>0</v>
      </c>
      <c r="AP99" t="s">
        <v>59</v>
      </c>
      <c r="AQ99">
        <v>0</v>
      </c>
      <c r="AR99" t="s">
        <v>59</v>
      </c>
      <c r="AS99">
        <v>0</v>
      </c>
      <c r="AT99" t="s">
        <v>58</v>
      </c>
      <c r="AU99">
        <v>2</v>
      </c>
      <c r="AV99">
        <f t="shared" si="1"/>
        <v>18</v>
      </c>
      <c r="AW99" t="str">
        <f>IF(Table1[[#This Row],[Pontuação final]]&lt;=2,"Nenhum", IF(Table1[[#This Row],[Pontuação final]]&lt;=12,"Leve", IF(Table1[[#This Row],[Pontuação final]]&lt;=22,"Moderado", "Grave")))</f>
        <v>Moderado</v>
      </c>
    </row>
    <row r="100" spans="1:49" x14ac:dyDescent="0.3">
      <c r="A100">
        <v>100</v>
      </c>
      <c r="B100" t="s">
        <v>49</v>
      </c>
      <c r="C100" s="1">
        <v>20</v>
      </c>
      <c r="D100" s="1">
        <v>90</v>
      </c>
      <c r="E100">
        <v>1.85</v>
      </c>
      <c r="F100" t="s">
        <v>61</v>
      </c>
      <c r="G100" t="s">
        <v>77</v>
      </c>
      <c r="H100" t="s">
        <v>68</v>
      </c>
      <c r="I100" t="s">
        <v>169</v>
      </c>
      <c r="J100" t="s">
        <v>170</v>
      </c>
      <c r="K100" t="s">
        <v>171</v>
      </c>
      <c r="L100" t="s">
        <v>55</v>
      </c>
      <c r="M100" t="s">
        <v>92</v>
      </c>
      <c r="N100" t="s">
        <v>172</v>
      </c>
      <c r="O100" t="s">
        <v>57</v>
      </c>
      <c r="P100" t="s">
        <v>58</v>
      </c>
      <c r="Q100">
        <v>2</v>
      </c>
      <c r="R100" t="s">
        <v>58</v>
      </c>
      <c r="S100">
        <v>2</v>
      </c>
      <c r="T100" t="s">
        <v>58</v>
      </c>
      <c r="U100">
        <v>2</v>
      </c>
      <c r="V100" t="s">
        <v>58</v>
      </c>
      <c r="W100">
        <v>2</v>
      </c>
      <c r="X100" t="s">
        <v>58</v>
      </c>
      <c r="Y100">
        <v>2</v>
      </c>
      <c r="Z100" t="s">
        <v>60</v>
      </c>
      <c r="AA100">
        <v>1</v>
      </c>
      <c r="AB100" t="s">
        <v>58</v>
      </c>
      <c r="AC100">
        <v>2</v>
      </c>
      <c r="AD100" t="s">
        <v>58</v>
      </c>
      <c r="AE100">
        <v>2</v>
      </c>
      <c r="AF100" t="s">
        <v>58</v>
      </c>
      <c r="AG100">
        <v>2</v>
      </c>
      <c r="AH100" t="s">
        <v>58</v>
      </c>
      <c r="AI100">
        <v>2</v>
      </c>
      <c r="AJ100" t="s">
        <v>58</v>
      </c>
      <c r="AK100">
        <v>2</v>
      </c>
      <c r="AL100" t="s">
        <v>58</v>
      </c>
      <c r="AM100">
        <v>2</v>
      </c>
      <c r="AN100" t="s">
        <v>60</v>
      </c>
      <c r="AO100">
        <v>1</v>
      </c>
      <c r="AP100" t="s">
        <v>59</v>
      </c>
      <c r="AQ100">
        <v>0</v>
      </c>
      <c r="AR100" t="s">
        <v>59</v>
      </c>
      <c r="AS100">
        <v>0</v>
      </c>
      <c r="AT100" t="s">
        <v>58</v>
      </c>
      <c r="AU100">
        <v>2</v>
      </c>
      <c r="AV100">
        <f t="shared" si="1"/>
        <v>26</v>
      </c>
      <c r="AW100" t="str">
        <f>IF(Table1[[#This Row],[Pontuação final]]&lt;=2,"Nenhum", IF(Table1[[#This Row],[Pontuação final]]&lt;=12,"Leve", IF(Table1[[#This Row],[Pontuação final]]&lt;=22,"Moderado", "Grave")))</f>
        <v>Grave</v>
      </c>
    </row>
    <row r="101" spans="1:49" x14ac:dyDescent="0.3">
      <c r="A101">
        <v>101</v>
      </c>
      <c r="B101" t="s">
        <v>49</v>
      </c>
      <c r="C101" s="1">
        <v>21</v>
      </c>
      <c r="D101" s="1">
        <v>63</v>
      </c>
      <c r="E101" s="1">
        <v>1.7</v>
      </c>
      <c r="F101" t="s">
        <v>61</v>
      </c>
      <c r="G101" t="s">
        <v>77</v>
      </c>
      <c r="H101" t="s">
        <v>68</v>
      </c>
      <c r="I101" t="s">
        <v>72</v>
      </c>
      <c r="K101" t="s">
        <v>89</v>
      </c>
      <c r="L101" t="s">
        <v>55</v>
      </c>
      <c r="M101" t="s">
        <v>75</v>
      </c>
      <c r="O101" t="s">
        <v>57</v>
      </c>
      <c r="P101" t="s">
        <v>60</v>
      </c>
      <c r="Q101">
        <v>1</v>
      </c>
      <c r="R101" t="s">
        <v>60</v>
      </c>
      <c r="S101">
        <v>1</v>
      </c>
      <c r="T101" t="s">
        <v>60</v>
      </c>
      <c r="U101">
        <v>1</v>
      </c>
      <c r="V101" t="s">
        <v>60</v>
      </c>
      <c r="W101">
        <v>1</v>
      </c>
      <c r="X101" t="s">
        <v>59</v>
      </c>
      <c r="Y101">
        <v>0</v>
      </c>
      <c r="Z101" t="s">
        <v>59</v>
      </c>
      <c r="AA101">
        <v>0</v>
      </c>
      <c r="AB101" t="s">
        <v>59</v>
      </c>
      <c r="AC101">
        <v>0</v>
      </c>
      <c r="AD101" t="s">
        <v>59</v>
      </c>
      <c r="AE101">
        <v>0</v>
      </c>
      <c r="AF101" t="s">
        <v>59</v>
      </c>
      <c r="AG101">
        <v>0</v>
      </c>
      <c r="AH101" t="s">
        <v>58</v>
      </c>
      <c r="AI101">
        <v>2</v>
      </c>
      <c r="AJ101" t="s">
        <v>59</v>
      </c>
      <c r="AK101">
        <v>0</v>
      </c>
      <c r="AL101" t="s">
        <v>59</v>
      </c>
      <c r="AM101">
        <v>0</v>
      </c>
      <c r="AN101" t="s">
        <v>59</v>
      </c>
      <c r="AO101">
        <v>0</v>
      </c>
      <c r="AP101" t="s">
        <v>59</v>
      </c>
      <c r="AQ101">
        <v>0</v>
      </c>
      <c r="AR101" t="s">
        <v>59</v>
      </c>
      <c r="AS101">
        <v>0</v>
      </c>
      <c r="AT101" t="s">
        <v>60</v>
      </c>
      <c r="AU101">
        <v>1</v>
      </c>
      <c r="AV101">
        <f t="shared" si="1"/>
        <v>7</v>
      </c>
      <c r="AW101" t="str">
        <f>IF(Table1[[#This Row],[Pontuação final]]&lt;=2,"Nenhum", IF(Table1[[#This Row],[Pontuação final]]&lt;=12,"Leve", IF(Table1[[#This Row],[Pontuação final]]&lt;=22,"Moderado", "Grave")))</f>
        <v>Leve</v>
      </c>
    </row>
    <row r="102" spans="1:49" x14ac:dyDescent="0.3">
      <c r="A102">
        <v>102</v>
      </c>
      <c r="B102" t="s">
        <v>49</v>
      </c>
      <c r="C102" s="1">
        <v>37</v>
      </c>
      <c r="D102" s="1">
        <v>73</v>
      </c>
      <c r="E102">
        <v>1.82</v>
      </c>
      <c r="F102" t="s">
        <v>50</v>
      </c>
      <c r="G102" t="s">
        <v>90</v>
      </c>
      <c r="H102" t="s">
        <v>52</v>
      </c>
      <c r="I102" t="s">
        <v>173</v>
      </c>
      <c r="K102" t="s">
        <v>70</v>
      </c>
      <c r="L102" t="s">
        <v>55</v>
      </c>
      <c r="M102" t="s">
        <v>92</v>
      </c>
      <c r="N102" t="s">
        <v>146</v>
      </c>
      <c r="O102" t="s">
        <v>57</v>
      </c>
      <c r="P102" t="s">
        <v>58</v>
      </c>
      <c r="Q102">
        <v>2</v>
      </c>
      <c r="R102" t="s">
        <v>59</v>
      </c>
      <c r="S102">
        <v>0</v>
      </c>
      <c r="T102" t="s">
        <v>59</v>
      </c>
      <c r="U102">
        <v>0</v>
      </c>
      <c r="V102" t="s">
        <v>58</v>
      </c>
      <c r="W102">
        <v>2</v>
      </c>
      <c r="X102" t="s">
        <v>60</v>
      </c>
      <c r="Y102">
        <v>1</v>
      </c>
      <c r="Z102" t="s">
        <v>60</v>
      </c>
      <c r="AA102">
        <v>1</v>
      </c>
      <c r="AB102" t="s">
        <v>59</v>
      </c>
      <c r="AC102">
        <v>0</v>
      </c>
      <c r="AD102" t="s">
        <v>59</v>
      </c>
      <c r="AE102">
        <v>0</v>
      </c>
      <c r="AF102" t="s">
        <v>58</v>
      </c>
      <c r="AG102">
        <v>2</v>
      </c>
      <c r="AH102" t="s">
        <v>58</v>
      </c>
      <c r="AI102">
        <v>2</v>
      </c>
      <c r="AJ102" t="s">
        <v>58</v>
      </c>
      <c r="AK102">
        <v>2</v>
      </c>
      <c r="AL102" t="s">
        <v>58</v>
      </c>
      <c r="AM102">
        <v>2</v>
      </c>
      <c r="AN102" t="s">
        <v>58</v>
      </c>
      <c r="AO102">
        <v>2</v>
      </c>
      <c r="AP102" t="s">
        <v>59</v>
      </c>
      <c r="AQ102">
        <v>0</v>
      </c>
      <c r="AR102" t="s">
        <v>59</v>
      </c>
      <c r="AS102">
        <v>0</v>
      </c>
      <c r="AT102" t="s">
        <v>58</v>
      </c>
      <c r="AU102">
        <v>2</v>
      </c>
      <c r="AV102">
        <f t="shared" si="1"/>
        <v>18</v>
      </c>
      <c r="AW102" t="str">
        <f>IF(Table1[[#This Row],[Pontuação final]]&lt;=2,"Nenhum", IF(Table1[[#This Row],[Pontuação final]]&lt;=12,"Leve", IF(Table1[[#This Row],[Pontuação final]]&lt;=22,"Moderado", "Grave")))</f>
        <v>Moderado</v>
      </c>
    </row>
    <row r="103" spans="1:49" x14ac:dyDescent="0.3">
      <c r="A103">
        <v>103</v>
      </c>
      <c r="B103" t="s">
        <v>49</v>
      </c>
      <c r="C103" s="1">
        <v>24</v>
      </c>
      <c r="D103" s="1">
        <v>75</v>
      </c>
      <c r="E103" s="1">
        <v>1.9</v>
      </c>
      <c r="F103" t="s">
        <v>61</v>
      </c>
      <c r="G103" t="s">
        <v>102</v>
      </c>
      <c r="H103" t="s">
        <v>68</v>
      </c>
      <c r="I103" t="s">
        <v>174</v>
      </c>
      <c r="J103" t="s">
        <v>175</v>
      </c>
      <c r="K103" t="s">
        <v>70</v>
      </c>
      <c r="L103" t="s">
        <v>55</v>
      </c>
      <c r="M103" t="s">
        <v>56</v>
      </c>
      <c r="O103" t="s">
        <v>57</v>
      </c>
      <c r="P103" t="s">
        <v>60</v>
      </c>
      <c r="Q103">
        <v>1</v>
      </c>
      <c r="R103" t="s">
        <v>58</v>
      </c>
      <c r="S103">
        <v>2</v>
      </c>
      <c r="T103" t="s">
        <v>58</v>
      </c>
      <c r="U103">
        <v>2</v>
      </c>
      <c r="V103" t="s">
        <v>60</v>
      </c>
      <c r="W103">
        <v>1</v>
      </c>
      <c r="X103" t="s">
        <v>59</v>
      </c>
      <c r="Y103">
        <v>0</v>
      </c>
      <c r="Z103" t="s">
        <v>59</v>
      </c>
      <c r="AA103">
        <v>0</v>
      </c>
      <c r="AB103" t="s">
        <v>59</v>
      </c>
      <c r="AC103">
        <v>0</v>
      </c>
      <c r="AD103" t="s">
        <v>58</v>
      </c>
      <c r="AE103">
        <v>2</v>
      </c>
      <c r="AF103" t="s">
        <v>60</v>
      </c>
      <c r="AG103">
        <v>1</v>
      </c>
      <c r="AH103" t="s">
        <v>58</v>
      </c>
      <c r="AI103">
        <v>2</v>
      </c>
      <c r="AJ103" t="s">
        <v>58</v>
      </c>
      <c r="AK103">
        <v>2</v>
      </c>
      <c r="AL103" t="s">
        <v>60</v>
      </c>
      <c r="AM103">
        <v>1</v>
      </c>
      <c r="AN103" t="s">
        <v>59</v>
      </c>
      <c r="AO103">
        <v>0</v>
      </c>
      <c r="AP103" t="s">
        <v>59</v>
      </c>
      <c r="AQ103">
        <v>0</v>
      </c>
      <c r="AR103" t="s">
        <v>58</v>
      </c>
      <c r="AS103">
        <v>2</v>
      </c>
      <c r="AT103" t="s">
        <v>60</v>
      </c>
      <c r="AU103">
        <v>1</v>
      </c>
      <c r="AV103">
        <f t="shared" si="1"/>
        <v>17</v>
      </c>
      <c r="AW103" t="str">
        <f>IF(Table1[[#This Row],[Pontuação final]]&lt;=2,"Nenhum", IF(Table1[[#This Row],[Pontuação final]]&lt;=12,"Leve", IF(Table1[[#This Row],[Pontuação final]]&lt;=22,"Moderado", "Grave")))</f>
        <v>Moderado</v>
      </c>
    </row>
    <row r="104" spans="1:49" x14ac:dyDescent="0.3">
      <c r="A104">
        <v>104</v>
      </c>
      <c r="B104" t="s">
        <v>66</v>
      </c>
      <c r="C104" s="1">
        <v>21</v>
      </c>
      <c r="D104">
        <v>70</v>
      </c>
      <c r="E104" s="1">
        <v>1.65</v>
      </c>
      <c r="F104" t="s">
        <v>94</v>
      </c>
      <c r="G104" t="s">
        <v>105</v>
      </c>
      <c r="H104" t="s">
        <v>52</v>
      </c>
      <c r="I104" t="s">
        <v>153</v>
      </c>
      <c r="K104" t="s">
        <v>141</v>
      </c>
      <c r="L104" t="s">
        <v>55</v>
      </c>
      <c r="M104" t="s">
        <v>75</v>
      </c>
      <c r="O104" t="s">
        <v>57</v>
      </c>
      <c r="P104" t="s">
        <v>58</v>
      </c>
      <c r="Q104">
        <v>2</v>
      </c>
      <c r="R104" t="s">
        <v>58</v>
      </c>
      <c r="S104">
        <v>2</v>
      </c>
      <c r="T104" t="s">
        <v>58</v>
      </c>
      <c r="U104">
        <v>2</v>
      </c>
      <c r="V104" t="s">
        <v>58</v>
      </c>
      <c r="W104">
        <v>2</v>
      </c>
      <c r="X104" t="s">
        <v>58</v>
      </c>
      <c r="Y104">
        <v>2</v>
      </c>
      <c r="Z104" t="s">
        <v>60</v>
      </c>
      <c r="AA104">
        <v>1</v>
      </c>
      <c r="AB104" t="s">
        <v>58</v>
      </c>
      <c r="AC104">
        <v>2</v>
      </c>
      <c r="AD104" t="s">
        <v>58</v>
      </c>
      <c r="AE104">
        <v>2</v>
      </c>
      <c r="AF104" t="s">
        <v>58</v>
      </c>
      <c r="AG104">
        <v>2</v>
      </c>
      <c r="AH104" t="s">
        <v>58</v>
      </c>
      <c r="AI104">
        <v>2</v>
      </c>
      <c r="AJ104" t="s">
        <v>60</v>
      </c>
      <c r="AK104">
        <v>1</v>
      </c>
      <c r="AL104" t="s">
        <v>58</v>
      </c>
      <c r="AM104">
        <v>2</v>
      </c>
      <c r="AN104" t="s">
        <v>60</v>
      </c>
      <c r="AO104">
        <v>1</v>
      </c>
      <c r="AP104" t="s">
        <v>60</v>
      </c>
      <c r="AQ104">
        <v>1</v>
      </c>
      <c r="AR104" t="s">
        <v>59</v>
      </c>
      <c r="AS104">
        <v>0</v>
      </c>
      <c r="AT104" t="s">
        <v>58</v>
      </c>
      <c r="AU104">
        <v>2</v>
      </c>
      <c r="AV104">
        <f t="shared" si="1"/>
        <v>26</v>
      </c>
      <c r="AW104" t="str">
        <f>IF(Table1[[#This Row],[Pontuação final]]&lt;=2,"Nenhum", IF(Table1[[#This Row],[Pontuação final]]&lt;=12,"Leve", IF(Table1[[#This Row],[Pontuação final]]&lt;=22,"Moderado", "Grave")))</f>
        <v>Grave</v>
      </c>
    </row>
    <row r="105" spans="1:49" x14ac:dyDescent="0.3">
      <c r="A105">
        <v>105</v>
      </c>
      <c r="B105" t="s">
        <v>66</v>
      </c>
      <c r="C105" s="1">
        <v>19</v>
      </c>
      <c r="D105" s="1">
        <v>60</v>
      </c>
      <c r="E105">
        <v>1.6</v>
      </c>
      <c r="F105" t="s">
        <v>94</v>
      </c>
      <c r="G105" t="s">
        <v>85</v>
      </c>
      <c r="H105" t="s">
        <v>68</v>
      </c>
      <c r="I105" t="s">
        <v>62</v>
      </c>
      <c r="K105" t="s">
        <v>176</v>
      </c>
      <c r="L105" t="s">
        <v>55</v>
      </c>
      <c r="M105" t="s">
        <v>64</v>
      </c>
      <c r="O105" t="s">
        <v>65</v>
      </c>
      <c r="P105" t="s">
        <v>60</v>
      </c>
      <c r="Q105">
        <v>1</v>
      </c>
      <c r="R105" t="s">
        <v>58</v>
      </c>
      <c r="S105">
        <v>2</v>
      </c>
      <c r="T105" t="s">
        <v>59</v>
      </c>
      <c r="U105">
        <v>0</v>
      </c>
      <c r="V105" t="s">
        <v>60</v>
      </c>
      <c r="W105">
        <v>1</v>
      </c>
      <c r="X105" t="s">
        <v>59</v>
      </c>
      <c r="Y105">
        <v>0</v>
      </c>
      <c r="Z105" t="s">
        <v>59</v>
      </c>
      <c r="AA105">
        <v>0</v>
      </c>
      <c r="AB105" t="s">
        <v>59</v>
      </c>
      <c r="AC105">
        <v>0</v>
      </c>
      <c r="AD105" t="s">
        <v>58</v>
      </c>
      <c r="AE105">
        <v>2</v>
      </c>
      <c r="AF105" t="s">
        <v>60</v>
      </c>
      <c r="AG105">
        <v>1</v>
      </c>
      <c r="AH105" t="s">
        <v>60</v>
      </c>
      <c r="AI105">
        <v>1</v>
      </c>
      <c r="AJ105" t="s">
        <v>60</v>
      </c>
      <c r="AK105">
        <v>1</v>
      </c>
      <c r="AL105" t="s">
        <v>60</v>
      </c>
      <c r="AM105">
        <v>1</v>
      </c>
      <c r="AN105" t="s">
        <v>59</v>
      </c>
      <c r="AO105">
        <v>0</v>
      </c>
      <c r="AP105" t="s">
        <v>59</v>
      </c>
      <c r="AQ105">
        <v>0</v>
      </c>
      <c r="AR105" t="s">
        <v>59</v>
      </c>
      <c r="AS105">
        <v>0</v>
      </c>
      <c r="AT105" t="s">
        <v>58</v>
      </c>
      <c r="AU105">
        <v>2</v>
      </c>
      <c r="AV105">
        <f t="shared" si="1"/>
        <v>12</v>
      </c>
      <c r="AW105" t="str">
        <f>IF(Table1[[#This Row],[Pontuação final]]&lt;=2,"Nenhum", IF(Table1[[#This Row],[Pontuação final]]&lt;=12,"Leve", IF(Table1[[#This Row],[Pontuação final]]&lt;=22,"Moderado", "Grave")))</f>
        <v>Leve</v>
      </c>
    </row>
    <row r="106" spans="1:49" x14ac:dyDescent="0.3">
      <c r="A106">
        <v>106</v>
      </c>
      <c r="B106" t="s">
        <v>49</v>
      </c>
      <c r="C106" s="1">
        <v>18</v>
      </c>
      <c r="D106" s="1">
        <v>55</v>
      </c>
      <c r="E106">
        <v>1.71</v>
      </c>
      <c r="F106" t="s">
        <v>61</v>
      </c>
      <c r="G106" t="s">
        <v>79</v>
      </c>
      <c r="H106" t="s">
        <v>52</v>
      </c>
      <c r="I106" t="s">
        <v>80</v>
      </c>
      <c r="K106" t="s">
        <v>70</v>
      </c>
      <c r="L106" t="s">
        <v>55</v>
      </c>
      <c r="M106" t="s">
        <v>64</v>
      </c>
      <c r="O106" t="s">
        <v>65</v>
      </c>
      <c r="P106" t="s">
        <v>58</v>
      </c>
      <c r="Q106">
        <v>2</v>
      </c>
      <c r="R106" t="s">
        <v>59</v>
      </c>
      <c r="S106">
        <v>0</v>
      </c>
      <c r="T106" t="s">
        <v>58</v>
      </c>
      <c r="U106">
        <v>2</v>
      </c>
      <c r="V106" t="s">
        <v>58</v>
      </c>
      <c r="W106">
        <v>2</v>
      </c>
      <c r="X106" t="s">
        <v>60</v>
      </c>
      <c r="Y106">
        <v>1</v>
      </c>
      <c r="Z106" t="s">
        <v>59</v>
      </c>
      <c r="AA106">
        <v>0</v>
      </c>
      <c r="AB106" t="s">
        <v>60</v>
      </c>
      <c r="AC106">
        <v>1</v>
      </c>
      <c r="AD106" t="s">
        <v>60</v>
      </c>
      <c r="AE106">
        <v>1</v>
      </c>
      <c r="AF106" t="s">
        <v>58</v>
      </c>
      <c r="AG106">
        <v>2</v>
      </c>
      <c r="AH106" t="s">
        <v>58</v>
      </c>
      <c r="AI106">
        <v>2</v>
      </c>
      <c r="AJ106" t="s">
        <v>58</v>
      </c>
      <c r="AK106">
        <v>2</v>
      </c>
      <c r="AL106" t="s">
        <v>58</v>
      </c>
      <c r="AM106">
        <v>2</v>
      </c>
      <c r="AN106" t="s">
        <v>59</v>
      </c>
      <c r="AO106">
        <v>0</v>
      </c>
      <c r="AP106" t="s">
        <v>59</v>
      </c>
      <c r="AQ106">
        <v>0</v>
      </c>
      <c r="AR106" t="s">
        <v>60</v>
      </c>
      <c r="AS106">
        <v>1</v>
      </c>
      <c r="AT106" t="s">
        <v>58</v>
      </c>
      <c r="AU106">
        <v>2</v>
      </c>
      <c r="AV106">
        <f t="shared" si="1"/>
        <v>20</v>
      </c>
      <c r="AW106" t="str">
        <f>IF(Table1[[#This Row],[Pontuação final]]&lt;=2,"Nenhum", IF(Table1[[#This Row],[Pontuação final]]&lt;=12,"Leve", IF(Table1[[#This Row],[Pontuação final]]&lt;=22,"Moderado", "Grave")))</f>
        <v>Moderado</v>
      </c>
    </row>
    <row r="107" spans="1:49" x14ac:dyDescent="0.3">
      <c r="A107">
        <v>107</v>
      </c>
      <c r="B107" t="s">
        <v>49</v>
      </c>
      <c r="C107" s="1">
        <v>18</v>
      </c>
      <c r="D107" s="1">
        <v>100</v>
      </c>
      <c r="E107">
        <v>1.8</v>
      </c>
      <c r="F107" t="s">
        <v>61</v>
      </c>
      <c r="G107" t="s">
        <v>79</v>
      </c>
      <c r="H107" t="s">
        <v>68</v>
      </c>
      <c r="I107" t="s">
        <v>72</v>
      </c>
      <c r="K107" t="s">
        <v>177</v>
      </c>
      <c r="L107" t="s">
        <v>55</v>
      </c>
      <c r="M107" t="s">
        <v>64</v>
      </c>
      <c r="O107" t="s">
        <v>82</v>
      </c>
      <c r="P107" t="s">
        <v>58</v>
      </c>
      <c r="Q107">
        <v>2</v>
      </c>
      <c r="R107" t="s">
        <v>58</v>
      </c>
      <c r="S107">
        <v>2</v>
      </c>
      <c r="T107" t="s">
        <v>60</v>
      </c>
      <c r="U107">
        <v>1</v>
      </c>
      <c r="V107" t="s">
        <v>58</v>
      </c>
      <c r="W107">
        <v>2</v>
      </c>
      <c r="X107" t="s">
        <v>59</v>
      </c>
      <c r="Y107">
        <v>0</v>
      </c>
      <c r="Z107" t="s">
        <v>60</v>
      </c>
      <c r="AA107">
        <v>1</v>
      </c>
      <c r="AB107" t="s">
        <v>60</v>
      </c>
      <c r="AC107">
        <v>1</v>
      </c>
      <c r="AD107" t="s">
        <v>59</v>
      </c>
      <c r="AE107">
        <v>0</v>
      </c>
      <c r="AF107" t="s">
        <v>60</v>
      </c>
      <c r="AG107">
        <v>1</v>
      </c>
      <c r="AH107" t="s">
        <v>58</v>
      </c>
      <c r="AI107">
        <v>2</v>
      </c>
      <c r="AJ107" t="s">
        <v>60</v>
      </c>
      <c r="AK107">
        <v>1</v>
      </c>
      <c r="AL107" t="s">
        <v>58</v>
      </c>
      <c r="AM107">
        <v>2</v>
      </c>
      <c r="AN107" t="s">
        <v>60</v>
      </c>
      <c r="AO107">
        <v>1</v>
      </c>
      <c r="AP107" t="s">
        <v>58</v>
      </c>
      <c r="AQ107">
        <v>2</v>
      </c>
      <c r="AR107" t="s">
        <v>59</v>
      </c>
      <c r="AS107">
        <v>0</v>
      </c>
      <c r="AT107" t="s">
        <v>58</v>
      </c>
      <c r="AU107">
        <v>2</v>
      </c>
      <c r="AV107">
        <f t="shared" si="1"/>
        <v>20</v>
      </c>
      <c r="AW107" t="str">
        <f>IF(Table1[[#This Row],[Pontuação final]]&lt;=2,"Nenhum", IF(Table1[[#This Row],[Pontuação final]]&lt;=12,"Leve", IF(Table1[[#This Row],[Pontuação final]]&lt;=22,"Moderado", "Grave")))</f>
        <v>Moderado</v>
      </c>
    </row>
    <row r="108" spans="1:49" x14ac:dyDescent="0.3">
      <c r="A108">
        <v>108</v>
      </c>
      <c r="B108" t="s">
        <v>49</v>
      </c>
      <c r="C108" s="1">
        <v>23</v>
      </c>
      <c r="D108" s="1">
        <v>84</v>
      </c>
      <c r="E108">
        <v>1.73</v>
      </c>
      <c r="F108" t="s">
        <v>111</v>
      </c>
      <c r="G108" t="s">
        <v>77</v>
      </c>
      <c r="H108" t="s">
        <v>52</v>
      </c>
      <c r="I108" t="s">
        <v>53</v>
      </c>
      <c r="K108" t="s">
        <v>178</v>
      </c>
      <c r="L108" t="s">
        <v>179</v>
      </c>
      <c r="M108" t="s">
        <v>75</v>
      </c>
      <c r="O108" t="s">
        <v>82</v>
      </c>
      <c r="P108" t="s">
        <v>58</v>
      </c>
      <c r="Q108">
        <v>2</v>
      </c>
      <c r="R108" t="s">
        <v>59</v>
      </c>
      <c r="S108">
        <v>0</v>
      </c>
      <c r="T108" t="s">
        <v>59</v>
      </c>
      <c r="U108">
        <v>0</v>
      </c>
      <c r="V108" t="s">
        <v>58</v>
      </c>
      <c r="W108">
        <v>2</v>
      </c>
      <c r="X108" t="s">
        <v>59</v>
      </c>
      <c r="Y108">
        <v>0</v>
      </c>
      <c r="Z108" t="s">
        <v>59</v>
      </c>
      <c r="AA108">
        <v>0</v>
      </c>
      <c r="AB108" t="s">
        <v>59</v>
      </c>
      <c r="AC108">
        <v>0</v>
      </c>
      <c r="AD108" t="s">
        <v>60</v>
      </c>
      <c r="AE108">
        <v>1</v>
      </c>
      <c r="AF108" t="s">
        <v>58</v>
      </c>
      <c r="AG108">
        <v>2</v>
      </c>
      <c r="AH108" t="s">
        <v>58</v>
      </c>
      <c r="AI108">
        <v>2</v>
      </c>
      <c r="AJ108" t="s">
        <v>58</v>
      </c>
      <c r="AK108">
        <v>2</v>
      </c>
      <c r="AL108" t="s">
        <v>58</v>
      </c>
      <c r="AM108">
        <v>2</v>
      </c>
      <c r="AN108" t="s">
        <v>60</v>
      </c>
      <c r="AO108">
        <v>1</v>
      </c>
      <c r="AP108" t="s">
        <v>59</v>
      </c>
      <c r="AQ108">
        <v>0</v>
      </c>
      <c r="AR108" t="s">
        <v>59</v>
      </c>
      <c r="AS108">
        <v>0</v>
      </c>
      <c r="AT108" t="s">
        <v>58</v>
      </c>
      <c r="AU108">
        <v>2</v>
      </c>
      <c r="AV108">
        <f t="shared" si="1"/>
        <v>16</v>
      </c>
      <c r="AW108" t="str">
        <f>IF(Table1[[#This Row],[Pontuação final]]&lt;=2,"Nenhum", IF(Table1[[#This Row],[Pontuação final]]&lt;=12,"Leve", IF(Table1[[#This Row],[Pontuação final]]&lt;=22,"Moderado", "Grave")))</f>
        <v>Moderado</v>
      </c>
    </row>
    <row r="109" spans="1:49" x14ac:dyDescent="0.3">
      <c r="A109">
        <v>109</v>
      </c>
      <c r="B109" t="s">
        <v>49</v>
      </c>
      <c r="C109" s="1">
        <v>20</v>
      </c>
      <c r="D109" s="1">
        <v>62</v>
      </c>
      <c r="E109" s="1">
        <v>1.65</v>
      </c>
      <c r="F109" t="s">
        <v>61</v>
      </c>
      <c r="G109" t="s">
        <v>85</v>
      </c>
      <c r="H109" t="s">
        <v>52</v>
      </c>
      <c r="I109" t="s">
        <v>62</v>
      </c>
      <c r="J109" t="s">
        <v>180</v>
      </c>
      <c r="K109" t="s">
        <v>181</v>
      </c>
      <c r="L109" t="s">
        <v>55</v>
      </c>
      <c r="M109" t="s">
        <v>64</v>
      </c>
      <c r="O109" t="s">
        <v>57</v>
      </c>
      <c r="P109" t="s">
        <v>60</v>
      </c>
      <c r="Q109">
        <v>1</v>
      </c>
      <c r="R109" t="s">
        <v>60</v>
      </c>
      <c r="S109">
        <v>1</v>
      </c>
      <c r="T109" t="s">
        <v>59</v>
      </c>
      <c r="U109">
        <v>0</v>
      </c>
      <c r="V109" t="s">
        <v>58</v>
      </c>
      <c r="W109">
        <v>2</v>
      </c>
      <c r="X109" t="s">
        <v>59</v>
      </c>
      <c r="Y109">
        <v>0</v>
      </c>
      <c r="Z109" t="s">
        <v>59</v>
      </c>
      <c r="AA109">
        <v>0</v>
      </c>
      <c r="AB109" t="s">
        <v>59</v>
      </c>
      <c r="AC109">
        <v>0</v>
      </c>
      <c r="AD109" t="s">
        <v>59</v>
      </c>
      <c r="AE109">
        <v>0</v>
      </c>
      <c r="AF109" t="s">
        <v>60</v>
      </c>
      <c r="AG109">
        <v>1</v>
      </c>
      <c r="AH109" t="s">
        <v>60</v>
      </c>
      <c r="AI109">
        <v>1</v>
      </c>
      <c r="AJ109" t="s">
        <v>59</v>
      </c>
      <c r="AK109">
        <v>0</v>
      </c>
      <c r="AL109" t="s">
        <v>60</v>
      </c>
      <c r="AM109">
        <v>1</v>
      </c>
      <c r="AN109" t="s">
        <v>59</v>
      </c>
      <c r="AO109">
        <v>0</v>
      </c>
      <c r="AP109" t="s">
        <v>59</v>
      </c>
      <c r="AQ109">
        <v>0</v>
      </c>
      <c r="AR109" t="s">
        <v>59</v>
      </c>
      <c r="AS109">
        <v>0</v>
      </c>
      <c r="AT109" t="s">
        <v>58</v>
      </c>
      <c r="AU109">
        <v>2</v>
      </c>
      <c r="AV109">
        <f t="shared" si="1"/>
        <v>9</v>
      </c>
      <c r="AW109" t="str">
        <f>IF(Table1[[#This Row],[Pontuação final]]&lt;=2,"Nenhum", IF(Table1[[#This Row],[Pontuação final]]&lt;=12,"Leve", IF(Table1[[#This Row],[Pontuação final]]&lt;=22,"Moderado", "Grave")))</f>
        <v>Leve</v>
      </c>
    </row>
    <row r="110" spans="1:49" x14ac:dyDescent="0.3">
      <c r="A110">
        <v>110</v>
      </c>
      <c r="B110" t="s">
        <v>49</v>
      </c>
      <c r="C110" s="1">
        <v>21</v>
      </c>
      <c r="D110" s="1">
        <v>72</v>
      </c>
      <c r="E110" s="1">
        <v>1.75</v>
      </c>
      <c r="F110" t="s">
        <v>61</v>
      </c>
      <c r="G110" t="s">
        <v>90</v>
      </c>
      <c r="H110" t="s">
        <v>52</v>
      </c>
      <c r="I110" t="s">
        <v>62</v>
      </c>
      <c r="K110" t="s">
        <v>70</v>
      </c>
      <c r="L110" t="s">
        <v>55</v>
      </c>
      <c r="M110" t="s">
        <v>64</v>
      </c>
      <c r="O110" t="s">
        <v>82</v>
      </c>
      <c r="P110" t="s">
        <v>60</v>
      </c>
      <c r="Q110">
        <v>1</v>
      </c>
      <c r="R110" t="s">
        <v>59</v>
      </c>
      <c r="S110">
        <v>0</v>
      </c>
      <c r="T110" t="s">
        <v>59</v>
      </c>
      <c r="U110">
        <v>0</v>
      </c>
      <c r="V110" t="s">
        <v>58</v>
      </c>
      <c r="W110">
        <v>2</v>
      </c>
      <c r="X110" t="s">
        <v>60</v>
      </c>
      <c r="Y110">
        <v>1</v>
      </c>
      <c r="Z110" t="s">
        <v>60</v>
      </c>
      <c r="AA110">
        <v>1</v>
      </c>
      <c r="AB110" t="s">
        <v>60</v>
      </c>
      <c r="AC110">
        <v>1</v>
      </c>
      <c r="AD110" t="s">
        <v>59</v>
      </c>
      <c r="AE110">
        <v>0</v>
      </c>
      <c r="AF110" t="s">
        <v>60</v>
      </c>
      <c r="AG110">
        <v>1</v>
      </c>
      <c r="AH110" t="s">
        <v>59</v>
      </c>
      <c r="AI110">
        <v>0</v>
      </c>
      <c r="AJ110" t="s">
        <v>59</v>
      </c>
      <c r="AK110">
        <v>0</v>
      </c>
      <c r="AL110" t="s">
        <v>60</v>
      </c>
      <c r="AM110">
        <v>1</v>
      </c>
      <c r="AN110" t="s">
        <v>59</v>
      </c>
      <c r="AO110">
        <v>0</v>
      </c>
      <c r="AP110" t="s">
        <v>60</v>
      </c>
      <c r="AQ110">
        <v>1</v>
      </c>
      <c r="AR110" t="s">
        <v>59</v>
      </c>
      <c r="AS110">
        <v>0</v>
      </c>
      <c r="AT110" t="s">
        <v>60</v>
      </c>
      <c r="AU110">
        <v>1</v>
      </c>
      <c r="AV110">
        <f t="shared" si="1"/>
        <v>10</v>
      </c>
      <c r="AW110" t="str">
        <f>IF(Table1[[#This Row],[Pontuação final]]&lt;=2,"Nenhum", IF(Table1[[#This Row],[Pontuação final]]&lt;=12,"Leve", IF(Table1[[#This Row],[Pontuação final]]&lt;=22,"Moderado", "Grave")))</f>
        <v>Leve</v>
      </c>
    </row>
    <row r="111" spans="1:49" x14ac:dyDescent="0.3">
      <c r="A111">
        <v>111</v>
      </c>
      <c r="B111" t="s">
        <v>49</v>
      </c>
      <c r="C111" s="1">
        <v>22</v>
      </c>
      <c r="D111" s="1">
        <v>78</v>
      </c>
      <c r="E111" s="1">
        <v>1.85</v>
      </c>
      <c r="F111" t="s">
        <v>61</v>
      </c>
      <c r="G111" t="s">
        <v>79</v>
      </c>
      <c r="H111" t="s">
        <v>52</v>
      </c>
      <c r="I111" t="s">
        <v>72</v>
      </c>
      <c r="K111" t="s">
        <v>70</v>
      </c>
      <c r="L111" t="s">
        <v>55</v>
      </c>
      <c r="M111" t="s">
        <v>56</v>
      </c>
      <c r="O111" t="s">
        <v>65</v>
      </c>
      <c r="P111" t="s">
        <v>58</v>
      </c>
      <c r="Q111">
        <v>2</v>
      </c>
      <c r="R111" t="s">
        <v>59</v>
      </c>
      <c r="S111">
        <v>0</v>
      </c>
      <c r="T111" t="s">
        <v>58</v>
      </c>
      <c r="U111">
        <v>2</v>
      </c>
      <c r="V111" t="s">
        <v>58</v>
      </c>
      <c r="W111">
        <v>2</v>
      </c>
      <c r="X111" t="s">
        <v>60</v>
      </c>
      <c r="Y111">
        <v>1</v>
      </c>
      <c r="Z111" t="s">
        <v>58</v>
      </c>
      <c r="AA111">
        <v>2</v>
      </c>
      <c r="AB111" t="s">
        <v>60</v>
      </c>
      <c r="AC111">
        <v>1</v>
      </c>
      <c r="AD111" t="s">
        <v>60</v>
      </c>
      <c r="AE111">
        <v>1</v>
      </c>
      <c r="AF111" t="s">
        <v>60</v>
      </c>
      <c r="AG111">
        <v>1</v>
      </c>
      <c r="AH111" t="s">
        <v>58</v>
      </c>
      <c r="AI111">
        <v>2</v>
      </c>
      <c r="AJ111" t="s">
        <v>58</v>
      </c>
      <c r="AK111">
        <v>2</v>
      </c>
      <c r="AL111" t="s">
        <v>58</v>
      </c>
      <c r="AM111">
        <v>2</v>
      </c>
      <c r="AN111" t="s">
        <v>60</v>
      </c>
      <c r="AO111">
        <v>1</v>
      </c>
      <c r="AP111" t="s">
        <v>59</v>
      </c>
      <c r="AQ111">
        <v>0</v>
      </c>
      <c r="AR111" t="s">
        <v>59</v>
      </c>
      <c r="AS111">
        <v>0</v>
      </c>
      <c r="AT111" t="s">
        <v>58</v>
      </c>
      <c r="AU111">
        <v>2</v>
      </c>
      <c r="AV111">
        <f t="shared" si="1"/>
        <v>21</v>
      </c>
      <c r="AW111" t="str">
        <f>IF(Table1[[#This Row],[Pontuação final]]&lt;=2,"Nenhum", IF(Table1[[#This Row],[Pontuação final]]&lt;=12,"Leve", IF(Table1[[#This Row],[Pontuação final]]&lt;=22,"Moderado", "Grave")))</f>
        <v>Moderado</v>
      </c>
    </row>
    <row r="112" spans="1:49" x14ac:dyDescent="0.3">
      <c r="A112">
        <v>112</v>
      </c>
      <c r="B112" t="s">
        <v>49</v>
      </c>
      <c r="C112" s="1">
        <v>17</v>
      </c>
      <c r="D112" s="1">
        <v>67</v>
      </c>
      <c r="E112" s="1">
        <v>1.62</v>
      </c>
      <c r="F112" t="s">
        <v>61</v>
      </c>
      <c r="G112" t="s">
        <v>79</v>
      </c>
      <c r="H112" t="s">
        <v>52</v>
      </c>
      <c r="I112" t="s">
        <v>62</v>
      </c>
      <c r="K112" t="s">
        <v>113</v>
      </c>
      <c r="L112" t="s">
        <v>55</v>
      </c>
      <c r="M112" t="s">
        <v>75</v>
      </c>
      <c r="O112" t="s">
        <v>65</v>
      </c>
      <c r="P112" t="s">
        <v>58</v>
      </c>
      <c r="Q112">
        <v>2</v>
      </c>
      <c r="R112" t="s">
        <v>59</v>
      </c>
      <c r="S112">
        <v>0</v>
      </c>
      <c r="T112" t="s">
        <v>59</v>
      </c>
      <c r="U112">
        <v>0</v>
      </c>
      <c r="V112" t="s">
        <v>60</v>
      </c>
      <c r="W112">
        <v>1</v>
      </c>
      <c r="X112" t="s">
        <v>60</v>
      </c>
      <c r="Y112">
        <v>1</v>
      </c>
      <c r="Z112" t="s">
        <v>59</v>
      </c>
      <c r="AA112">
        <v>0</v>
      </c>
      <c r="AB112" t="s">
        <v>59</v>
      </c>
      <c r="AC112">
        <v>0</v>
      </c>
      <c r="AD112" t="s">
        <v>59</v>
      </c>
      <c r="AE112">
        <v>0</v>
      </c>
      <c r="AF112" t="s">
        <v>60</v>
      </c>
      <c r="AG112">
        <v>1</v>
      </c>
      <c r="AH112" t="s">
        <v>60</v>
      </c>
      <c r="AI112">
        <v>1</v>
      </c>
      <c r="AJ112" t="s">
        <v>59</v>
      </c>
      <c r="AK112">
        <v>0</v>
      </c>
      <c r="AL112" t="s">
        <v>58</v>
      </c>
      <c r="AM112">
        <v>2</v>
      </c>
      <c r="AN112" t="s">
        <v>60</v>
      </c>
      <c r="AO112">
        <v>1</v>
      </c>
      <c r="AP112" t="s">
        <v>59</v>
      </c>
      <c r="AQ112">
        <v>0</v>
      </c>
      <c r="AR112" t="s">
        <v>59</v>
      </c>
      <c r="AS112">
        <v>0</v>
      </c>
      <c r="AT112" t="s">
        <v>60</v>
      </c>
      <c r="AU112">
        <v>1</v>
      </c>
      <c r="AV112">
        <f t="shared" si="1"/>
        <v>10</v>
      </c>
      <c r="AW112" t="str">
        <f>IF(Table1[[#This Row],[Pontuação final]]&lt;=2,"Nenhum", IF(Table1[[#This Row],[Pontuação final]]&lt;=12,"Leve", IF(Table1[[#This Row],[Pontuação final]]&lt;=22,"Moderado", "Grave")))</f>
        <v>Leve</v>
      </c>
    </row>
    <row r="113" spans="1:49" x14ac:dyDescent="0.3">
      <c r="A113">
        <v>113</v>
      </c>
      <c r="B113" t="s">
        <v>49</v>
      </c>
      <c r="C113" s="1">
        <v>23</v>
      </c>
      <c r="D113" s="1">
        <v>71</v>
      </c>
      <c r="E113" s="1">
        <v>1.88</v>
      </c>
      <c r="F113" t="s">
        <v>50</v>
      </c>
      <c r="G113" t="s">
        <v>102</v>
      </c>
      <c r="H113" t="s">
        <v>52</v>
      </c>
      <c r="I113" t="s">
        <v>72</v>
      </c>
      <c r="K113" t="s">
        <v>182</v>
      </c>
      <c r="L113" t="s">
        <v>55</v>
      </c>
      <c r="M113" t="s">
        <v>64</v>
      </c>
      <c r="O113" t="s">
        <v>65</v>
      </c>
      <c r="P113" t="s">
        <v>60</v>
      </c>
      <c r="Q113">
        <v>1</v>
      </c>
      <c r="R113" t="s">
        <v>60</v>
      </c>
      <c r="S113">
        <v>1</v>
      </c>
      <c r="T113" t="s">
        <v>59</v>
      </c>
      <c r="U113">
        <v>0</v>
      </c>
      <c r="V113" t="s">
        <v>60</v>
      </c>
      <c r="W113">
        <v>1</v>
      </c>
      <c r="X113" t="s">
        <v>59</v>
      </c>
      <c r="Y113">
        <v>0</v>
      </c>
      <c r="Z113" t="s">
        <v>59</v>
      </c>
      <c r="AA113">
        <v>0</v>
      </c>
      <c r="AB113" t="s">
        <v>59</v>
      </c>
      <c r="AC113">
        <v>0</v>
      </c>
      <c r="AD113" t="s">
        <v>59</v>
      </c>
      <c r="AE113">
        <v>0</v>
      </c>
      <c r="AF113" t="s">
        <v>60</v>
      </c>
      <c r="AG113">
        <v>1</v>
      </c>
      <c r="AH113" t="s">
        <v>59</v>
      </c>
      <c r="AI113">
        <v>0</v>
      </c>
      <c r="AJ113" t="s">
        <v>59</v>
      </c>
      <c r="AK113">
        <v>0</v>
      </c>
      <c r="AL113" t="s">
        <v>60</v>
      </c>
      <c r="AM113">
        <v>1</v>
      </c>
      <c r="AN113" t="s">
        <v>59</v>
      </c>
      <c r="AO113">
        <v>0</v>
      </c>
      <c r="AP113" t="s">
        <v>59</v>
      </c>
      <c r="AQ113">
        <v>0</v>
      </c>
      <c r="AR113" t="s">
        <v>59</v>
      </c>
      <c r="AS113">
        <v>0</v>
      </c>
      <c r="AT113" t="s">
        <v>60</v>
      </c>
      <c r="AU113">
        <v>1</v>
      </c>
      <c r="AV113">
        <f t="shared" si="1"/>
        <v>6</v>
      </c>
      <c r="AW113" t="str">
        <f>IF(Table1[[#This Row],[Pontuação final]]&lt;=2,"Nenhum", IF(Table1[[#This Row],[Pontuação final]]&lt;=12,"Leve", IF(Table1[[#This Row],[Pontuação final]]&lt;=22,"Moderado", "Grave")))</f>
        <v>Leve</v>
      </c>
    </row>
    <row r="114" spans="1:49" x14ac:dyDescent="0.3">
      <c r="A114">
        <v>114</v>
      </c>
      <c r="B114" t="s">
        <v>49</v>
      </c>
      <c r="C114" s="1">
        <v>18</v>
      </c>
      <c r="D114" s="1">
        <v>70</v>
      </c>
      <c r="E114">
        <v>1.56</v>
      </c>
      <c r="F114" t="s">
        <v>111</v>
      </c>
      <c r="G114" t="s">
        <v>79</v>
      </c>
      <c r="H114" t="s">
        <v>52</v>
      </c>
      <c r="I114" t="s">
        <v>62</v>
      </c>
      <c r="K114" t="s">
        <v>117</v>
      </c>
      <c r="L114" t="s">
        <v>55</v>
      </c>
      <c r="M114" t="s">
        <v>75</v>
      </c>
      <c r="O114" t="s">
        <v>65</v>
      </c>
      <c r="P114" t="s">
        <v>60</v>
      </c>
      <c r="Q114">
        <v>1</v>
      </c>
      <c r="R114" t="s">
        <v>58</v>
      </c>
      <c r="S114">
        <v>2</v>
      </c>
      <c r="T114" t="s">
        <v>59</v>
      </c>
      <c r="U114">
        <v>0</v>
      </c>
      <c r="V114" t="s">
        <v>60</v>
      </c>
      <c r="W114">
        <v>1</v>
      </c>
      <c r="X114" t="s">
        <v>60</v>
      </c>
      <c r="Y114">
        <v>1</v>
      </c>
      <c r="Z114" t="s">
        <v>58</v>
      </c>
      <c r="AA114">
        <v>2</v>
      </c>
      <c r="AB114" t="s">
        <v>60</v>
      </c>
      <c r="AC114">
        <v>1</v>
      </c>
      <c r="AD114" t="s">
        <v>58</v>
      </c>
      <c r="AE114">
        <v>2</v>
      </c>
      <c r="AF114" t="s">
        <v>59</v>
      </c>
      <c r="AG114">
        <v>0</v>
      </c>
      <c r="AH114" t="s">
        <v>59</v>
      </c>
      <c r="AI114">
        <v>0</v>
      </c>
      <c r="AJ114" t="s">
        <v>59</v>
      </c>
      <c r="AK114">
        <v>0</v>
      </c>
      <c r="AL114" t="s">
        <v>60</v>
      </c>
      <c r="AM114">
        <v>1</v>
      </c>
      <c r="AN114" t="s">
        <v>59</v>
      </c>
      <c r="AO114">
        <v>0</v>
      </c>
      <c r="AP114" t="s">
        <v>59</v>
      </c>
      <c r="AQ114">
        <v>0</v>
      </c>
      <c r="AR114" t="s">
        <v>59</v>
      </c>
      <c r="AS114">
        <v>0</v>
      </c>
      <c r="AT114" t="s">
        <v>60</v>
      </c>
      <c r="AU114">
        <v>1</v>
      </c>
      <c r="AV114">
        <f t="shared" si="1"/>
        <v>12</v>
      </c>
      <c r="AW114" t="str">
        <f>IF(Table1[[#This Row],[Pontuação final]]&lt;=2,"Nenhum", IF(Table1[[#This Row],[Pontuação final]]&lt;=12,"Leve", IF(Table1[[#This Row],[Pontuação final]]&lt;=22,"Moderado", "Grave")))</f>
        <v>Leve</v>
      </c>
    </row>
    <row r="115" spans="1:49" x14ac:dyDescent="0.3">
      <c r="A115">
        <v>115</v>
      </c>
      <c r="B115" t="s">
        <v>66</v>
      </c>
      <c r="C115" s="1">
        <v>17</v>
      </c>
      <c r="D115">
        <v>58</v>
      </c>
      <c r="E115">
        <v>1.62</v>
      </c>
      <c r="F115" t="s">
        <v>50</v>
      </c>
      <c r="G115" t="s">
        <v>79</v>
      </c>
      <c r="H115" t="s">
        <v>52</v>
      </c>
      <c r="I115" t="s">
        <v>62</v>
      </c>
      <c r="K115" t="s">
        <v>183</v>
      </c>
      <c r="L115" t="s">
        <v>74</v>
      </c>
      <c r="M115" t="s">
        <v>75</v>
      </c>
      <c r="O115" t="s">
        <v>65</v>
      </c>
      <c r="P115" t="s">
        <v>58</v>
      </c>
      <c r="Q115">
        <v>2</v>
      </c>
      <c r="R115" t="s">
        <v>59</v>
      </c>
      <c r="S115">
        <v>0</v>
      </c>
      <c r="T115" t="s">
        <v>60</v>
      </c>
      <c r="U115">
        <v>1</v>
      </c>
      <c r="V115" t="s">
        <v>58</v>
      </c>
      <c r="W115">
        <v>2</v>
      </c>
      <c r="X115" t="s">
        <v>60</v>
      </c>
      <c r="Y115">
        <v>1</v>
      </c>
      <c r="Z115" t="s">
        <v>59</v>
      </c>
      <c r="AA115">
        <v>0</v>
      </c>
      <c r="AB115" t="s">
        <v>60</v>
      </c>
      <c r="AC115">
        <v>1</v>
      </c>
      <c r="AD115" t="s">
        <v>60</v>
      </c>
      <c r="AE115">
        <v>1</v>
      </c>
      <c r="AF115" t="s">
        <v>60</v>
      </c>
      <c r="AG115">
        <v>1</v>
      </c>
      <c r="AH115" t="s">
        <v>59</v>
      </c>
      <c r="AI115">
        <v>0</v>
      </c>
      <c r="AJ115" t="s">
        <v>59</v>
      </c>
      <c r="AK115">
        <v>0</v>
      </c>
      <c r="AL115" t="s">
        <v>60</v>
      </c>
      <c r="AM115">
        <v>1</v>
      </c>
      <c r="AN115" t="s">
        <v>60</v>
      </c>
      <c r="AO115">
        <v>1</v>
      </c>
      <c r="AP115" t="s">
        <v>60</v>
      </c>
      <c r="AQ115">
        <v>1</v>
      </c>
      <c r="AR115" t="s">
        <v>58</v>
      </c>
      <c r="AS115">
        <v>2</v>
      </c>
      <c r="AT115" t="s">
        <v>60</v>
      </c>
      <c r="AU115">
        <v>1</v>
      </c>
      <c r="AV115">
        <f t="shared" si="1"/>
        <v>15</v>
      </c>
      <c r="AW115" t="str">
        <f>IF(Table1[[#This Row],[Pontuação final]]&lt;=2,"Nenhum", IF(Table1[[#This Row],[Pontuação final]]&lt;=12,"Leve", IF(Table1[[#This Row],[Pontuação final]]&lt;=22,"Moderado", "Grave")))</f>
        <v>Moderado</v>
      </c>
    </row>
    <row r="116" spans="1:49" x14ac:dyDescent="0.3">
      <c r="A116">
        <v>116</v>
      </c>
      <c r="B116" t="s">
        <v>66</v>
      </c>
      <c r="C116" s="1">
        <v>21</v>
      </c>
      <c r="D116" s="1">
        <v>61</v>
      </c>
      <c r="E116" s="1">
        <v>1.65</v>
      </c>
      <c r="F116" t="s">
        <v>111</v>
      </c>
      <c r="G116" t="s">
        <v>90</v>
      </c>
      <c r="H116" t="s">
        <v>52</v>
      </c>
      <c r="I116" t="s">
        <v>153</v>
      </c>
      <c r="K116" t="s">
        <v>70</v>
      </c>
      <c r="L116" t="s">
        <v>55</v>
      </c>
      <c r="M116" t="s">
        <v>56</v>
      </c>
      <c r="O116" t="s">
        <v>65</v>
      </c>
      <c r="P116" t="s">
        <v>58</v>
      </c>
      <c r="Q116">
        <v>2</v>
      </c>
      <c r="R116" t="s">
        <v>60</v>
      </c>
      <c r="S116">
        <v>1</v>
      </c>
      <c r="T116" t="s">
        <v>60</v>
      </c>
      <c r="U116">
        <v>1</v>
      </c>
      <c r="V116" t="s">
        <v>58</v>
      </c>
      <c r="W116">
        <v>2</v>
      </c>
      <c r="X116" t="s">
        <v>60</v>
      </c>
      <c r="Y116">
        <v>1</v>
      </c>
      <c r="Z116" t="s">
        <v>60</v>
      </c>
      <c r="AA116">
        <v>1</v>
      </c>
      <c r="AB116" t="s">
        <v>60</v>
      </c>
      <c r="AC116">
        <v>1</v>
      </c>
      <c r="AD116" t="s">
        <v>58</v>
      </c>
      <c r="AE116">
        <v>2</v>
      </c>
      <c r="AF116" t="s">
        <v>60</v>
      </c>
      <c r="AG116">
        <v>1</v>
      </c>
      <c r="AH116" t="s">
        <v>58</v>
      </c>
      <c r="AI116">
        <v>2</v>
      </c>
      <c r="AJ116" t="s">
        <v>58</v>
      </c>
      <c r="AK116">
        <v>2</v>
      </c>
      <c r="AL116" t="s">
        <v>58</v>
      </c>
      <c r="AM116">
        <v>2</v>
      </c>
      <c r="AN116" t="s">
        <v>60</v>
      </c>
      <c r="AO116">
        <v>1</v>
      </c>
      <c r="AP116" t="s">
        <v>60</v>
      </c>
      <c r="AQ116">
        <v>1</v>
      </c>
      <c r="AR116" t="s">
        <v>58</v>
      </c>
      <c r="AS116">
        <v>2</v>
      </c>
      <c r="AT116" t="s">
        <v>60</v>
      </c>
      <c r="AU116">
        <v>1</v>
      </c>
      <c r="AV116">
        <f t="shared" si="1"/>
        <v>23</v>
      </c>
      <c r="AW116" t="str">
        <f>IF(Table1[[#This Row],[Pontuação final]]&lt;=2,"Nenhum", IF(Table1[[#This Row],[Pontuação final]]&lt;=12,"Leve", IF(Table1[[#This Row],[Pontuação final]]&lt;=22,"Moderado", "Grave")))</f>
        <v>Grave</v>
      </c>
    </row>
    <row r="117" spans="1:49" x14ac:dyDescent="0.3">
      <c r="A117">
        <v>117</v>
      </c>
      <c r="B117" t="s">
        <v>49</v>
      </c>
      <c r="C117" s="1">
        <v>20</v>
      </c>
      <c r="D117" s="1">
        <v>78</v>
      </c>
      <c r="E117">
        <v>1.87</v>
      </c>
      <c r="F117" t="s">
        <v>50</v>
      </c>
      <c r="G117" t="s">
        <v>77</v>
      </c>
      <c r="H117" t="s">
        <v>52</v>
      </c>
      <c r="I117" t="s">
        <v>162</v>
      </c>
      <c r="J117" t="s">
        <v>184</v>
      </c>
      <c r="K117" t="s">
        <v>185</v>
      </c>
      <c r="L117" t="s">
        <v>55</v>
      </c>
      <c r="M117" t="s">
        <v>56</v>
      </c>
      <c r="O117" t="s">
        <v>82</v>
      </c>
      <c r="P117" t="s">
        <v>58</v>
      </c>
      <c r="Q117">
        <v>2</v>
      </c>
      <c r="R117" t="s">
        <v>58</v>
      </c>
      <c r="S117">
        <v>2</v>
      </c>
      <c r="T117" t="s">
        <v>59</v>
      </c>
      <c r="U117">
        <v>0</v>
      </c>
      <c r="V117" t="s">
        <v>58</v>
      </c>
      <c r="W117">
        <v>2</v>
      </c>
      <c r="X117" t="s">
        <v>60</v>
      </c>
      <c r="Y117">
        <v>1</v>
      </c>
      <c r="Z117" t="s">
        <v>59</v>
      </c>
      <c r="AA117">
        <v>0</v>
      </c>
      <c r="AB117" t="s">
        <v>60</v>
      </c>
      <c r="AC117">
        <v>1</v>
      </c>
      <c r="AD117" t="s">
        <v>60</v>
      </c>
      <c r="AE117">
        <v>1</v>
      </c>
      <c r="AF117" t="s">
        <v>60</v>
      </c>
      <c r="AG117">
        <v>1</v>
      </c>
      <c r="AH117" t="s">
        <v>58</v>
      </c>
      <c r="AI117">
        <v>2</v>
      </c>
      <c r="AJ117" t="s">
        <v>59</v>
      </c>
      <c r="AK117">
        <v>0</v>
      </c>
      <c r="AL117" t="s">
        <v>58</v>
      </c>
      <c r="AM117">
        <v>2</v>
      </c>
      <c r="AN117" t="s">
        <v>60</v>
      </c>
      <c r="AO117">
        <v>1</v>
      </c>
      <c r="AP117" t="s">
        <v>60</v>
      </c>
      <c r="AQ117">
        <v>1</v>
      </c>
      <c r="AR117" t="s">
        <v>60</v>
      </c>
      <c r="AS117">
        <v>1</v>
      </c>
      <c r="AT117" t="s">
        <v>58</v>
      </c>
      <c r="AU117">
        <v>2</v>
      </c>
      <c r="AV117">
        <f t="shared" si="1"/>
        <v>19</v>
      </c>
      <c r="AW117" t="str">
        <f>IF(Table1[[#This Row],[Pontuação final]]&lt;=2,"Nenhum", IF(Table1[[#This Row],[Pontuação final]]&lt;=12,"Leve", IF(Table1[[#This Row],[Pontuação final]]&lt;=22,"Moderado", "Grave")))</f>
        <v>Moderado</v>
      </c>
    </row>
    <row r="118" spans="1:49" x14ac:dyDescent="0.3">
      <c r="A118">
        <v>118</v>
      </c>
      <c r="B118" t="s">
        <v>66</v>
      </c>
      <c r="C118" s="1">
        <v>21</v>
      </c>
      <c r="D118" s="1">
        <v>48</v>
      </c>
      <c r="E118">
        <v>1.58</v>
      </c>
      <c r="F118" t="s">
        <v>61</v>
      </c>
      <c r="G118" t="s">
        <v>90</v>
      </c>
      <c r="H118" t="s">
        <v>68</v>
      </c>
      <c r="I118" t="s">
        <v>53</v>
      </c>
      <c r="K118" t="s">
        <v>186</v>
      </c>
      <c r="L118" t="s">
        <v>55</v>
      </c>
      <c r="M118" t="s">
        <v>64</v>
      </c>
      <c r="O118" t="s">
        <v>65</v>
      </c>
      <c r="P118" t="s">
        <v>58</v>
      </c>
      <c r="Q118">
        <v>2</v>
      </c>
      <c r="R118" t="s">
        <v>59</v>
      </c>
      <c r="S118">
        <v>0</v>
      </c>
      <c r="T118" t="s">
        <v>59</v>
      </c>
      <c r="U118">
        <v>0</v>
      </c>
      <c r="V118" t="s">
        <v>58</v>
      </c>
      <c r="W118">
        <v>2</v>
      </c>
      <c r="X118" t="s">
        <v>60</v>
      </c>
      <c r="Y118">
        <v>1</v>
      </c>
      <c r="Z118" t="s">
        <v>60</v>
      </c>
      <c r="AA118">
        <v>1</v>
      </c>
      <c r="AB118" t="s">
        <v>58</v>
      </c>
      <c r="AC118">
        <v>2</v>
      </c>
      <c r="AD118" t="s">
        <v>60</v>
      </c>
      <c r="AE118">
        <v>1</v>
      </c>
      <c r="AF118" t="s">
        <v>58</v>
      </c>
      <c r="AG118">
        <v>2</v>
      </c>
      <c r="AH118" t="s">
        <v>58</v>
      </c>
      <c r="AI118">
        <v>2</v>
      </c>
      <c r="AJ118" t="s">
        <v>58</v>
      </c>
      <c r="AK118">
        <v>2</v>
      </c>
      <c r="AL118" t="s">
        <v>58</v>
      </c>
      <c r="AM118">
        <v>2</v>
      </c>
      <c r="AN118" t="s">
        <v>58</v>
      </c>
      <c r="AO118">
        <v>2</v>
      </c>
      <c r="AP118" t="s">
        <v>60</v>
      </c>
      <c r="AQ118">
        <v>1</v>
      </c>
      <c r="AR118" t="s">
        <v>59</v>
      </c>
      <c r="AS118">
        <v>0</v>
      </c>
      <c r="AT118" t="s">
        <v>58</v>
      </c>
      <c r="AU118">
        <v>2</v>
      </c>
      <c r="AV118">
        <f t="shared" si="1"/>
        <v>22</v>
      </c>
      <c r="AW118" t="str">
        <f>IF(Table1[[#This Row],[Pontuação final]]&lt;=2,"Nenhum", IF(Table1[[#This Row],[Pontuação final]]&lt;=12,"Leve", IF(Table1[[#This Row],[Pontuação final]]&lt;=22,"Moderado", "Grave")))</f>
        <v>Moderado</v>
      </c>
    </row>
    <row r="119" spans="1:49" x14ac:dyDescent="0.3">
      <c r="A119">
        <v>119</v>
      </c>
      <c r="B119" t="s">
        <v>66</v>
      </c>
      <c r="C119" s="1">
        <v>19</v>
      </c>
      <c r="D119" s="1">
        <v>62</v>
      </c>
      <c r="E119" s="1">
        <v>1.72</v>
      </c>
      <c r="F119" t="s">
        <v>61</v>
      </c>
      <c r="G119" t="s">
        <v>51</v>
      </c>
      <c r="H119" t="s">
        <v>68</v>
      </c>
      <c r="I119" t="s">
        <v>187</v>
      </c>
      <c r="K119" t="s">
        <v>188</v>
      </c>
      <c r="L119" t="s">
        <v>74</v>
      </c>
      <c r="M119" t="s">
        <v>75</v>
      </c>
      <c r="O119" t="s">
        <v>65</v>
      </c>
      <c r="P119" t="s">
        <v>58</v>
      </c>
      <c r="Q119">
        <v>2</v>
      </c>
      <c r="R119" t="s">
        <v>60</v>
      </c>
      <c r="S119">
        <v>1</v>
      </c>
      <c r="T119" t="s">
        <v>60</v>
      </c>
      <c r="U119">
        <v>1</v>
      </c>
      <c r="V119" t="s">
        <v>58</v>
      </c>
      <c r="W119">
        <v>2</v>
      </c>
      <c r="X119" t="s">
        <v>59</v>
      </c>
      <c r="Y119">
        <v>0</v>
      </c>
      <c r="Z119" t="s">
        <v>59</v>
      </c>
      <c r="AA119">
        <v>0</v>
      </c>
      <c r="AB119" t="s">
        <v>59</v>
      </c>
      <c r="AC119">
        <v>0</v>
      </c>
      <c r="AD119" t="s">
        <v>60</v>
      </c>
      <c r="AE119">
        <v>1</v>
      </c>
      <c r="AF119" t="s">
        <v>60</v>
      </c>
      <c r="AG119">
        <v>1</v>
      </c>
      <c r="AH119" t="s">
        <v>60</v>
      </c>
      <c r="AI119">
        <v>1</v>
      </c>
      <c r="AJ119" t="s">
        <v>59</v>
      </c>
      <c r="AK119">
        <v>0</v>
      </c>
      <c r="AL119" t="s">
        <v>60</v>
      </c>
      <c r="AM119">
        <v>1</v>
      </c>
      <c r="AN119" t="s">
        <v>59</v>
      </c>
      <c r="AO119">
        <v>0</v>
      </c>
      <c r="AP119" t="s">
        <v>59</v>
      </c>
      <c r="AQ119">
        <v>0</v>
      </c>
      <c r="AR119" t="s">
        <v>60</v>
      </c>
      <c r="AS119">
        <v>1</v>
      </c>
      <c r="AT119" t="s">
        <v>60</v>
      </c>
      <c r="AU119">
        <v>1</v>
      </c>
      <c r="AV119">
        <f t="shared" si="1"/>
        <v>12</v>
      </c>
      <c r="AW119" t="str">
        <f>IF(Table1[[#This Row],[Pontuação final]]&lt;=2,"Nenhum", IF(Table1[[#This Row],[Pontuação final]]&lt;=12,"Leve", IF(Table1[[#This Row],[Pontuação final]]&lt;=22,"Moderado", "Grave")))</f>
        <v>Leve</v>
      </c>
    </row>
    <row r="120" spans="1:49" x14ac:dyDescent="0.3">
      <c r="A120">
        <v>120</v>
      </c>
      <c r="B120" t="s">
        <v>66</v>
      </c>
      <c r="C120" s="1">
        <v>18</v>
      </c>
      <c r="D120" s="1">
        <v>73</v>
      </c>
      <c r="E120" s="1">
        <v>1.76</v>
      </c>
      <c r="F120" t="s">
        <v>50</v>
      </c>
      <c r="G120" t="s">
        <v>79</v>
      </c>
      <c r="H120" t="s">
        <v>52</v>
      </c>
      <c r="I120" t="s">
        <v>62</v>
      </c>
      <c r="J120" t="s">
        <v>189</v>
      </c>
      <c r="K120" t="s">
        <v>91</v>
      </c>
      <c r="L120" t="s">
        <v>55</v>
      </c>
      <c r="M120" t="s">
        <v>75</v>
      </c>
      <c r="O120" t="s">
        <v>57</v>
      </c>
      <c r="P120" t="s">
        <v>58</v>
      </c>
      <c r="Q120">
        <v>2</v>
      </c>
      <c r="R120" t="s">
        <v>59</v>
      </c>
      <c r="S120">
        <v>0</v>
      </c>
      <c r="T120" t="s">
        <v>58</v>
      </c>
      <c r="U120">
        <v>2</v>
      </c>
      <c r="V120" t="s">
        <v>58</v>
      </c>
      <c r="W120">
        <v>2</v>
      </c>
      <c r="X120" t="s">
        <v>60</v>
      </c>
      <c r="Y120">
        <v>1</v>
      </c>
      <c r="Z120" t="s">
        <v>60</v>
      </c>
      <c r="AA120">
        <v>1</v>
      </c>
      <c r="AB120" t="s">
        <v>60</v>
      </c>
      <c r="AC120">
        <v>1</v>
      </c>
      <c r="AD120" t="s">
        <v>60</v>
      </c>
      <c r="AE120">
        <v>1</v>
      </c>
      <c r="AF120" t="s">
        <v>60</v>
      </c>
      <c r="AG120">
        <v>1</v>
      </c>
      <c r="AH120" t="s">
        <v>60</v>
      </c>
      <c r="AI120">
        <v>1</v>
      </c>
      <c r="AJ120" t="s">
        <v>59</v>
      </c>
      <c r="AK120">
        <v>0</v>
      </c>
      <c r="AL120" t="s">
        <v>58</v>
      </c>
      <c r="AM120">
        <v>2</v>
      </c>
      <c r="AN120" t="s">
        <v>59</v>
      </c>
      <c r="AO120">
        <v>0</v>
      </c>
      <c r="AP120" t="s">
        <v>60</v>
      </c>
      <c r="AQ120">
        <v>1</v>
      </c>
      <c r="AR120" t="s">
        <v>59</v>
      </c>
      <c r="AS120">
        <v>0</v>
      </c>
      <c r="AT120" t="s">
        <v>58</v>
      </c>
      <c r="AU120">
        <v>2</v>
      </c>
      <c r="AV120">
        <f t="shared" si="1"/>
        <v>17</v>
      </c>
      <c r="AW120" t="str">
        <f>IF(Table1[[#This Row],[Pontuação final]]&lt;=2,"Nenhum", IF(Table1[[#This Row],[Pontuação final]]&lt;=12,"Leve", IF(Table1[[#This Row],[Pontuação final]]&lt;=22,"Moderado", "Grave")))</f>
        <v>Moderado</v>
      </c>
    </row>
    <row r="121" spans="1:49" x14ac:dyDescent="0.3">
      <c r="A121">
        <v>121</v>
      </c>
      <c r="B121" t="s">
        <v>66</v>
      </c>
      <c r="C121" s="1">
        <v>19</v>
      </c>
      <c r="D121" s="1">
        <v>46</v>
      </c>
      <c r="E121" s="1">
        <v>1.53</v>
      </c>
      <c r="F121" t="s">
        <v>111</v>
      </c>
      <c r="G121" t="s">
        <v>85</v>
      </c>
      <c r="H121" t="s">
        <v>68</v>
      </c>
      <c r="I121" t="s">
        <v>80</v>
      </c>
      <c r="K121" t="s">
        <v>70</v>
      </c>
      <c r="L121" t="s">
        <v>55</v>
      </c>
      <c r="M121" t="s">
        <v>64</v>
      </c>
      <c r="O121" t="s">
        <v>65</v>
      </c>
      <c r="P121" t="s">
        <v>58</v>
      </c>
      <c r="Q121">
        <v>2</v>
      </c>
      <c r="R121" t="s">
        <v>60</v>
      </c>
      <c r="S121">
        <v>1</v>
      </c>
      <c r="T121" t="s">
        <v>59</v>
      </c>
      <c r="U121">
        <v>0</v>
      </c>
      <c r="V121" t="s">
        <v>58</v>
      </c>
      <c r="W121">
        <v>2</v>
      </c>
      <c r="X121" t="s">
        <v>59</v>
      </c>
      <c r="Y121">
        <v>0</v>
      </c>
      <c r="Z121" t="s">
        <v>59</v>
      </c>
      <c r="AA121">
        <v>0</v>
      </c>
      <c r="AB121" t="s">
        <v>59</v>
      </c>
      <c r="AC121">
        <v>0</v>
      </c>
      <c r="AD121" t="s">
        <v>58</v>
      </c>
      <c r="AE121">
        <v>2</v>
      </c>
      <c r="AF121" t="s">
        <v>60</v>
      </c>
      <c r="AG121">
        <v>1</v>
      </c>
      <c r="AH121" t="s">
        <v>58</v>
      </c>
      <c r="AI121">
        <v>2</v>
      </c>
      <c r="AJ121" t="s">
        <v>58</v>
      </c>
      <c r="AK121">
        <v>2</v>
      </c>
      <c r="AL121" t="s">
        <v>58</v>
      </c>
      <c r="AM121">
        <v>2</v>
      </c>
      <c r="AN121" t="s">
        <v>60</v>
      </c>
      <c r="AO121">
        <v>1</v>
      </c>
      <c r="AP121" t="s">
        <v>59</v>
      </c>
      <c r="AQ121">
        <v>0</v>
      </c>
      <c r="AR121" t="s">
        <v>60</v>
      </c>
      <c r="AS121">
        <v>1</v>
      </c>
      <c r="AT121" t="s">
        <v>58</v>
      </c>
      <c r="AU121">
        <v>2</v>
      </c>
      <c r="AV121">
        <f t="shared" si="1"/>
        <v>18</v>
      </c>
      <c r="AW121" t="str">
        <f>IF(Table1[[#This Row],[Pontuação final]]&lt;=2,"Nenhum", IF(Table1[[#This Row],[Pontuação final]]&lt;=12,"Leve", IF(Table1[[#This Row],[Pontuação final]]&lt;=22,"Moderado", "Grave")))</f>
        <v>Moderado</v>
      </c>
    </row>
    <row r="122" spans="1:49" x14ac:dyDescent="0.3">
      <c r="A122">
        <v>122</v>
      </c>
      <c r="B122" t="s">
        <v>66</v>
      </c>
      <c r="C122" s="1">
        <v>18</v>
      </c>
      <c r="D122" s="1">
        <v>47</v>
      </c>
      <c r="E122">
        <v>1.55</v>
      </c>
      <c r="F122" t="s">
        <v>111</v>
      </c>
      <c r="G122" t="s">
        <v>51</v>
      </c>
      <c r="H122" t="s">
        <v>52</v>
      </c>
      <c r="I122" t="s">
        <v>62</v>
      </c>
      <c r="K122" t="s">
        <v>70</v>
      </c>
      <c r="L122" t="s">
        <v>55</v>
      </c>
      <c r="M122" t="s">
        <v>75</v>
      </c>
      <c r="O122" t="s">
        <v>57</v>
      </c>
      <c r="P122" t="s">
        <v>58</v>
      </c>
      <c r="Q122">
        <v>2</v>
      </c>
      <c r="R122" t="s">
        <v>60</v>
      </c>
      <c r="S122">
        <v>1</v>
      </c>
      <c r="T122" t="s">
        <v>60</v>
      </c>
      <c r="U122">
        <v>1</v>
      </c>
      <c r="V122" t="s">
        <v>58</v>
      </c>
      <c r="W122">
        <v>2</v>
      </c>
      <c r="X122" t="s">
        <v>60</v>
      </c>
      <c r="Y122">
        <v>1</v>
      </c>
      <c r="Z122" t="s">
        <v>59</v>
      </c>
      <c r="AA122">
        <v>0</v>
      </c>
      <c r="AB122" t="s">
        <v>59</v>
      </c>
      <c r="AC122">
        <v>0</v>
      </c>
      <c r="AD122" t="s">
        <v>59</v>
      </c>
      <c r="AE122">
        <v>0</v>
      </c>
      <c r="AF122" t="s">
        <v>58</v>
      </c>
      <c r="AG122">
        <v>2</v>
      </c>
      <c r="AH122" t="s">
        <v>60</v>
      </c>
      <c r="AI122">
        <v>1</v>
      </c>
      <c r="AJ122" t="s">
        <v>60</v>
      </c>
      <c r="AK122">
        <v>1</v>
      </c>
      <c r="AL122" t="s">
        <v>58</v>
      </c>
      <c r="AM122">
        <v>2</v>
      </c>
      <c r="AN122" t="s">
        <v>60</v>
      </c>
      <c r="AO122">
        <v>1</v>
      </c>
      <c r="AP122" t="s">
        <v>59</v>
      </c>
      <c r="AQ122">
        <v>0</v>
      </c>
      <c r="AR122" t="s">
        <v>59</v>
      </c>
      <c r="AS122">
        <v>0</v>
      </c>
      <c r="AT122" t="s">
        <v>58</v>
      </c>
      <c r="AU122">
        <v>2</v>
      </c>
      <c r="AV122">
        <f t="shared" si="1"/>
        <v>16</v>
      </c>
      <c r="AW122" t="str">
        <f>IF(Table1[[#This Row],[Pontuação final]]&lt;=2,"Nenhum", IF(Table1[[#This Row],[Pontuação final]]&lt;=12,"Leve", IF(Table1[[#This Row],[Pontuação final]]&lt;=22,"Moderado", "Grave")))</f>
        <v>Moderado</v>
      </c>
    </row>
    <row r="123" spans="1:49" x14ac:dyDescent="0.3">
      <c r="A123">
        <v>123</v>
      </c>
      <c r="B123" t="s">
        <v>49</v>
      </c>
      <c r="C123" s="1">
        <v>19</v>
      </c>
      <c r="D123" s="1">
        <v>76</v>
      </c>
      <c r="E123" s="1">
        <v>1.79</v>
      </c>
      <c r="F123" t="s">
        <v>76</v>
      </c>
      <c r="G123" t="s">
        <v>51</v>
      </c>
      <c r="H123" t="s">
        <v>52</v>
      </c>
      <c r="I123" t="s">
        <v>53</v>
      </c>
      <c r="K123" t="s">
        <v>190</v>
      </c>
      <c r="L123" t="s">
        <v>55</v>
      </c>
      <c r="M123" t="s">
        <v>75</v>
      </c>
      <c r="O123" t="s">
        <v>57</v>
      </c>
      <c r="P123" t="s">
        <v>60</v>
      </c>
      <c r="Q123">
        <v>1</v>
      </c>
      <c r="R123" t="s">
        <v>60</v>
      </c>
      <c r="S123">
        <v>1</v>
      </c>
      <c r="T123" t="s">
        <v>60</v>
      </c>
      <c r="U123">
        <v>1</v>
      </c>
      <c r="V123" t="s">
        <v>58</v>
      </c>
      <c r="W123">
        <v>2</v>
      </c>
      <c r="X123" t="s">
        <v>60</v>
      </c>
      <c r="Y123">
        <v>1</v>
      </c>
      <c r="Z123" t="s">
        <v>60</v>
      </c>
      <c r="AA123">
        <v>1</v>
      </c>
      <c r="AB123" t="s">
        <v>60</v>
      </c>
      <c r="AC123">
        <v>1</v>
      </c>
      <c r="AD123" t="s">
        <v>60</v>
      </c>
      <c r="AE123">
        <v>1</v>
      </c>
      <c r="AF123" t="s">
        <v>60</v>
      </c>
      <c r="AG123">
        <v>1</v>
      </c>
      <c r="AH123" t="s">
        <v>60</v>
      </c>
      <c r="AI123">
        <v>1</v>
      </c>
      <c r="AJ123" t="s">
        <v>59</v>
      </c>
      <c r="AK123">
        <v>0</v>
      </c>
      <c r="AL123" t="s">
        <v>60</v>
      </c>
      <c r="AM123">
        <v>1</v>
      </c>
      <c r="AN123" t="s">
        <v>59</v>
      </c>
      <c r="AO123">
        <v>0</v>
      </c>
      <c r="AP123" t="s">
        <v>59</v>
      </c>
      <c r="AQ123">
        <v>0</v>
      </c>
      <c r="AR123" t="s">
        <v>60</v>
      </c>
      <c r="AS123">
        <v>1</v>
      </c>
      <c r="AT123" t="s">
        <v>60</v>
      </c>
      <c r="AU123">
        <v>1</v>
      </c>
      <c r="AV123">
        <f t="shared" si="1"/>
        <v>14</v>
      </c>
      <c r="AW123" t="str">
        <f>IF(Table1[[#This Row],[Pontuação final]]&lt;=2,"Nenhum", IF(Table1[[#This Row],[Pontuação final]]&lt;=12,"Leve", IF(Table1[[#This Row],[Pontuação final]]&lt;=22,"Moderado", "Grave")))</f>
        <v>Moderado</v>
      </c>
    </row>
    <row r="124" spans="1:49" x14ac:dyDescent="0.3">
      <c r="A124">
        <v>124</v>
      </c>
      <c r="B124" t="s">
        <v>49</v>
      </c>
      <c r="C124" s="1">
        <v>23</v>
      </c>
      <c r="D124" s="1">
        <v>86</v>
      </c>
      <c r="E124">
        <v>1.75</v>
      </c>
      <c r="F124" t="s">
        <v>61</v>
      </c>
      <c r="G124" t="s">
        <v>102</v>
      </c>
      <c r="H124" t="s">
        <v>52</v>
      </c>
      <c r="I124" t="s">
        <v>80</v>
      </c>
      <c r="K124" t="s">
        <v>63</v>
      </c>
      <c r="L124" t="s">
        <v>55</v>
      </c>
      <c r="M124" t="s">
        <v>64</v>
      </c>
      <c r="O124" t="s">
        <v>57</v>
      </c>
      <c r="P124" t="s">
        <v>60</v>
      </c>
      <c r="Q124">
        <v>1</v>
      </c>
      <c r="R124" t="s">
        <v>59</v>
      </c>
      <c r="S124">
        <v>0</v>
      </c>
      <c r="T124" t="s">
        <v>59</v>
      </c>
      <c r="U124">
        <v>0</v>
      </c>
      <c r="V124" t="s">
        <v>58</v>
      </c>
      <c r="W124">
        <v>2</v>
      </c>
      <c r="X124" t="s">
        <v>59</v>
      </c>
      <c r="Y124">
        <v>0</v>
      </c>
      <c r="Z124" t="s">
        <v>59</v>
      </c>
      <c r="AA124">
        <v>0</v>
      </c>
      <c r="AB124" t="s">
        <v>59</v>
      </c>
      <c r="AC124">
        <v>0</v>
      </c>
      <c r="AD124" t="s">
        <v>59</v>
      </c>
      <c r="AE124">
        <v>0</v>
      </c>
      <c r="AF124" t="s">
        <v>59</v>
      </c>
      <c r="AG124">
        <v>0</v>
      </c>
      <c r="AH124" t="s">
        <v>58</v>
      </c>
      <c r="AI124">
        <v>2</v>
      </c>
      <c r="AJ124" t="s">
        <v>60</v>
      </c>
      <c r="AK124">
        <v>1</v>
      </c>
      <c r="AL124" t="s">
        <v>60</v>
      </c>
      <c r="AM124">
        <v>1</v>
      </c>
      <c r="AN124" t="s">
        <v>59</v>
      </c>
      <c r="AO124">
        <v>0</v>
      </c>
      <c r="AP124" t="s">
        <v>59</v>
      </c>
      <c r="AQ124">
        <v>0</v>
      </c>
      <c r="AR124" t="s">
        <v>59</v>
      </c>
      <c r="AS124">
        <v>0</v>
      </c>
      <c r="AT124" t="s">
        <v>60</v>
      </c>
      <c r="AU124">
        <v>1</v>
      </c>
      <c r="AV124">
        <f t="shared" si="1"/>
        <v>8</v>
      </c>
      <c r="AW124" t="str">
        <f>IF(Table1[[#This Row],[Pontuação final]]&lt;=2,"Nenhum", IF(Table1[[#This Row],[Pontuação final]]&lt;=12,"Leve", IF(Table1[[#This Row],[Pontuação final]]&lt;=22,"Moderado", "Grave")))</f>
        <v>Leve</v>
      </c>
    </row>
    <row r="125" spans="1:49" x14ac:dyDescent="0.3">
      <c r="A125">
        <v>125</v>
      </c>
      <c r="B125" t="s">
        <v>49</v>
      </c>
      <c r="C125" s="1">
        <v>18</v>
      </c>
      <c r="D125" s="1">
        <v>60</v>
      </c>
      <c r="E125" s="1">
        <v>1.8</v>
      </c>
      <c r="F125" t="s">
        <v>94</v>
      </c>
      <c r="G125" t="s">
        <v>79</v>
      </c>
      <c r="H125" t="s">
        <v>52</v>
      </c>
      <c r="I125" t="s">
        <v>62</v>
      </c>
      <c r="K125" t="s">
        <v>142</v>
      </c>
      <c r="L125" t="s">
        <v>55</v>
      </c>
      <c r="M125" t="s">
        <v>75</v>
      </c>
      <c r="O125" t="s">
        <v>65</v>
      </c>
      <c r="P125" t="s">
        <v>58</v>
      </c>
      <c r="Q125">
        <v>2</v>
      </c>
      <c r="R125" t="s">
        <v>59</v>
      </c>
      <c r="S125">
        <v>0</v>
      </c>
      <c r="T125" t="s">
        <v>58</v>
      </c>
      <c r="U125">
        <v>2</v>
      </c>
      <c r="V125" t="s">
        <v>58</v>
      </c>
      <c r="W125">
        <v>2</v>
      </c>
      <c r="X125" t="s">
        <v>58</v>
      </c>
      <c r="Y125">
        <v>2</v>
      </c>
      <c r="Z125" t="s">
        <v>59</v>
      </c>
      <c r="AA125">
        <v>0</v>
      </c>
      <c r="AB125" t="s">
        <v>58</v>
      </c>
      <c r="AC125">
        <v>2</v>
      </c>
      <c r="AD125" t="s">
        <v>58</v>
      </c>
      <c r="AE125">
        <v>2</v>
      </c>
      <c r="AF125" t="s">
        <v>58</v>
      </c>
      <c r="AG125">
        <v>2</v>
      </c>
      <c r="AH125" t="s">
        <v>58</v>
      </c>
      <c r="AI125">
        <v>2</v>
      </c>
      <c r="AJ125" t="s">
        <v>58</v>
      </c>
      <c r="AK125">
        <v>2</v>
      </c>
      <c r="AL125" t="s">
        <v>58</v>
      </c>
      <c r="AM125">
        <v>2</v>
      </c>
      <c r="AN125" t="s">
        <v>58</v>
      </c>
      <c r="AO125">
        <v>2</v>
      </c>
      <c r="AP125" t="s">
        <v>60</v>
      </c>
      <c r="AQ125">
        <v>1</v>
      </c>
      <c r="AR125" t="s">
        <v>59</v>
      </c>
      <c r="AS125">
        <v>0</v>
      </c>
      <c r="AT125" t="s">
        <v>58</v>
      </c>
      <c r="AU125">
        <v>2</v>
      </c>
      <c r="AV125">
        <f t="shared" si="1"/>
        <v>25</v>
      </c>
      <c r="AW125" t="str">
        <f>IF(Table1[[#This Row],[Pontuação final]]&lt;=2,"Nenhum", IF(Table1[[#This Row],[Pontuação final]]&lt;=12,"Leve", IF(Table1[[#This Row],[Pontuação final]]&lt;=22,"Moderado", "Grave")))</f>
        <v>Grave</v>
      </c>
    </row>
    <row r="126" spans="1:49" x14ac:dyDescent="0.3">
      <c r="A126">
        <v>126</v>
      </c>
      <c r="B126" t="s">
        <v>49</v>
      </c>
      <c r="C126" s="1">
        <v>18</v>
      </c>
      <c r="D126" s="1">
        <v>57</v>
      </c>
      <c r="E126" s="1">
        <v>1.68</v>
      </c>
      <c r="F126" t="s">
        <v>50</v>
      </c>
      <c r="G126" t="s">
        <v>79</v>
      </c>
      <c r="H126" t="s">
        <v>52</v>
      </c>
      <c r="I126" t="s">
        <v>62</v>
      </c>
      <c r="K126" t="s">
        <v>191</v>
      </c>
      <c r="L126" t="s">
        <v>55</v>
      </c>
      <c r="M126" t="s">
        <v>75</v>
      </c>
      <c r="O126" t="s">
        <v>57</v>
      </c>
      <c r="P126" t="s">
        <v>60</v>
      </c>
      <c r="Q126">
        <v>1</v>
      </c>
      <c r="R126" t="s">
        <v>60</v>
      </c>
      <c r="S126">
        <v>1</v>
      </c>
      <c r="T126" t="s">
        <v>60</v>
      </c>
      <c r="U126">
        <v>1</v>
      </c>
      <c r="V126" t="s">
        <v>60</v>
      </c>
      <c r="W126">
        <v>1</v>
      </c>
      <c r="X126" t="s">
        <v>59</v>
      </c>
      <c r="Y126">
        <v>0</v>
      </c>
      <c r="Z126" t="s">
        <v>59</v>
      </c>
      <c r="AA126">
        <v>0</v>
      </c>
      <c r="AB126" t="s">
        <v>59</v>
      </c>
      <c r="AC126">
        <v>0</v>
      </c>
      <c r="AD126" t="s">
        <v>60</v>
      </c>
      <c r="AE126">
        <v>1</v>
      </c>
      <c r="AF126" t="s">
        <v>60</v>
      </c>
      <c r="AG126">
        <v>1</v>
      </c>
      <c r="AH126" t="s">
        <v>60</v>
      </c>
      <c r="AI126">
        <v>1</v>
      </c>
      <c r="AJ126" t="s">
        <v>59</v>
      </c>
      <c r="AK126">
        <v>0</v>
      </c>
      <c r="AL126" t="s">
        <v>60</v>
      </c>
      <c r="AM126">
        <v>1</v>
      </c>
      <c r="AN126" t="s">
        <v>60</v>
      </c>
      <c r="AO126">
        <v>1</v>
      </c>
      <c r="AP126" t="s">
        <v>59</v>
      </c>
      <c r="AQ126">
        <v>0</v>
      </c>
      <c r="AR126" t="s">
        <v>59</v>
      </c>
      <c r="AS126">
        <v>0</v>
      </c>
      <c r="AT126" t="s">
        <v>60</v>
      </c>
      <c r="AU126">
        <v>1</v>
      </c>
      <c r="AV126">
        <f t="shared" si="1"/>
        <v>10</v>
      </c>
      <c r="AW126" t="str">
        <f>IF(Table1[[#This Row],[Pontuação final]]&lt;=2,"Nenhum", IF(Table1[[#This Row],[Pontuação final]]&lt;=12,"Leve", IF(Table1[[#This Row],[Pontuação final]]&lt;=22,"Moderado", "Grave")))</f>
        <v>Leve</v>
      </c>
    </row>
    <row r="127" spans="1:49" x14ac:dyDescent="0.3">
      <c r="A127">
        <v>127</v>
      </c>
      <c r="B127" t="s">
        <v>49</v>
      </c>
      <c r="C127" s="1">
        <v>18</v>
      </c>
      <c r="D127" s="1">
        <v>65</v>
      </c>
      <c r="E127">
        <v>1.75</v>
      </c>
      <c r="F127" t="s">
        <v>61</v>
      </c>
      <c r="G127" t="s">
        <v>79</v>
      </c>
      <c r="H127" t="s">
        <v>68</v>
      </c>
      <c r="I127" t="s">
        <v>62</v>
      </c>
      <c r="K127" t="s">
        <v>86</v>
      </c>
      <c r="L127" t="s">
        <v>55</v>
      </c>
      <c r="M127" t="s">
        <v>64</v>
      </c>
      <c r="O127" t="s">
        <v>65</v>
      </c>
      <c r="P127" t="s">
        <v>60</v>
      </c>
      <c r="Q127">
        <v>1</v>
      </c>
      <c r="R127" t="s">
        <v>59</v>
      </c>
      <c r="S127">
        <v>0</v>
      </c>
      <c r="T127" t="s">
        <v>58</v>
      </c>
      <c r="U127">
        <v>2</v>
      </c>
      <c r="V127" t="s">
        <v>58</v>
      </c>
      <c r="W127">
        <v>2</v>
      </c>
      <c r="X127" t="s">
        <v>60</v>
      </c>
      <c r="Y127">
        <v>1</v>
      </c>
      <c r="Z127" t="s">
        <v>59</v>
      </c>
      <c r="AA127">
        <v>0</v>
      </c>
      <c r="AB127" t="s">
        <v>60</v>
      </c>
      <c r="AC127">
        <v>1</v>
      </c>
      <c r="AD127" t="s">
        <v>59</v>
      </c>
      <c r="AE127">
        <v>0</v>
      </c>
      <c r="AF127" t="s">
        <v>60</v>
      </c>
      <c r="AG127">
        <v>1</v>
      </c>
      <c r="AH127" t="s">
        <v>60</v>
      </c>
      <c r="AI127">
        <v>1</v>
      </c>
      <c r="AJ127" t="s">
        <v>59</v>
      </c>
      <c r="AK127">
        <v>0</v>
      </c>
      <c r="AL127" t="s">
        <v>60</v>
      </c>
      <c r="AM127">
        <v>1</v>
      </c>
      <c r="AN127" t="s">
        <v>60</v>
      </c>
      <c r="AO127">
        <v>1</v>
      </c>
      <c r="AP127" t="s">
        <v>59</v>
      </c>
      <c r="AQ127">
        <v>0</v>
      </c>
      <c r="AR127" t="s">
        <v>59</v>
      </c>
      <c r="AS127">
        <v>0</v>
      </c>
      <c r="AT127" t="s">
        <v>58</v>
      </c>
      <c r="AU127">
        <v>2</v>
      </c>
      <c r="AV127">
        <f t="shared" si="1"/>
        <v>13</v>
      </c>
      <c r="AW127" t="str">
        <f>IF(Table1[[#This Row],[Pontuação final]]&lt;=2,"Nenhum", IF(Table1[[#This Row],[Pontuação final]]&lt;=12,"Leve", IF(Table1[[#This Row],[Pontuação final]]&lt;=22,"Moderado", "Grave")))</f>
        <v>Moderado</v>
      </c>
    </row>
    <row r="128" spans="1:49" x14ac:dyDescent="0.3">
      <c r="A128">
        <v>128</v>
      </c>
      <c r="B128" t="s">
        <v>66</v>
      </c>
      <c r="C128" s="1">
        <v>21</v>
      </c>
      <c r="D128" s="1">
        <v>48</v>
      </c>
      <c r="E128">
        <v>1.68</v>
      </c>
      <c r="F128" t="s">
        <v>119</v>
      </c>
      <c r="G128" t="s">
        <v>67</v>
      </c>
      <c r="H128" t="s">
        <v>68</v>
      </c>
      <c r="I128" t="s">
        <v>80</v>
      </c>
      <c r="K128" t="s">
        <v>70</v>
      </c>
      <c r="L128" t="s">
        <v>55</v>
      </c>
      <c r="M128" t="s">
        <v>64</v>
      </c>
      <c r="O128" t="s">
        <v>65</v>
      </c>
      <c r="P128" t="s">
        <v>58</v>
      </c>
      <c r="Q128">
        <v>2</v>
      </c>
      <c r="R128" t="s">
        <v>58</v>
      </c>
      <c r="S128">
        <v>2</v>
      </c>
      <c r="T128" t="s">
        <v>58</v>
      </c>
      <c r="U128">
        <v>2</v>
      </c>
      <c r="V128" t="s">
        <v>58</v>
      </c>
      <c r="W128">
        <v>2</v>
      </c>
      <c r="X128" t="s">
        <v>60</v>
      </c>
      <c r="Y128">
        <v>1</v>
      </c>
      <c r="Z128" t="s">
        <v>58</v>
      </c>
      <c r="AA128">
        <v>2</v>
      </c>
      <c r="AB128" t="s">
        <v>60</v>
      </c>
      <c r="AC128">
        <v>1</v>
      </c>
      <c r="AD128" t="s">
        <v>58</v>
      </c>
      <c r="AE128">
        <v>2</v>
      </c>
      <c r="AF128" t="s">
        <v>58</v>
      </c>
      <c r="AG128">
        <v>2</v>
      </c>
      <c r="AH128" t="s">
        <v>58</v>
      </c>
      <c r="AI128">
        <v>2</v>
      </c>
      <c r="AJ128" t="s">
        <v>58</v>
      </c>
      <c r="AK128">
        <v>2</v>
      </c>
      <c r="AL128" t="s">
        <v>58</v>
      </c>
      <c r="AM128">
        <v>2</v>
      </c>
      <c r="AN128" t="s">
        <v>58</v>
      </c>
      <c r="AO128">
        <v>2</v>
      </c>
      <c r="AP128" t="s">
        <v>58</v>
      </c>
      <c r="AQ128">
        <v>2</v>
      </c>
      <c r="AR128" t="s">
        <v>60</v>
      </c>
      <c r="AS128">
        <v>1</v>
      </c>
      <c r="AT128" t="s">
        <v>58</v>
      </c>
      <c r="AU128">
        <v>2</v>
      </c>
      <c r="AV128">
        <f t="shared" si="1"/>
        <v>29</v>
      </c>
      <c r="AW128" t="str">
        <f>IF(Table1[[#This Row],[Pontuação final]]&lt;=2,"Nenhum", IF(Table1[[#This Row],[Pontuação final]]&lt;=12,"Leve", IF(Table1[[#This Row],[Pontuação final]]&lt;=22,"Moderado", "Grave")))</f>
        <v>Grave</v>
      </c>
    </row>
    <row r="129" spans="1:49" x14ac:dyDescent="0.3">
      <c r="A129">
        <v>129</v>
      </c>
      <c r="B129" t="s">
        <v>49</v>
      </c>
      <c r="C129" s="1">
        <v>17</v>
      </c>
      <c r="D129" s="1">
        <v>66</v>
      </c>
      <c r="E129">
        <v>1.8</v>
      </c>
      <c r="F129" t="s">
        <v>111</v>
      </c>
      <c r="G129" t="s">
        <v>79</v>
      </c>
      <c r="H129" t="s">
        <v>52</v>
      </c>
      <c r="I129" t="s">
        <v>62</v>
      </c>
      <c r="K129" t="s">
        <v>70</v>
      </c>
      <c r="L129" t="s">
        <v>55</v>
      </c>
      <c r="M129" t="s">
        <v>56</v>
      </c>
      <c r="O129" t="s">
        <v>65</v>
      </c>
      <c r="P129" t="s">
        <v>60</v>
      </c>
      <c r="Q129">
        <v>1</v>
      </c>
      <c r="R129" t="s">
        <v>60</v>
      </c>
      <c r="S129">
        <v>1</v>
      </c>
      <c r="T129" t="s">
        <v>59</v>
      </c>
      <c r="U129">
        <v>0</v>
      </c>
      <c r="V129" t="s">
        <v>58</v>
      </c>
      <c r="W129">
        <v>2</v>
      </c>
      <c r="X129" t="s">
        <v>60</v>
      </c>
      <c r="Y129">
        <v>1</v>
      </c>
      <c r="Z129" t="s">
        <v>60</v>
      </c>
      <c r="AA129">
        <v>1</v>
      </c>
      <c r="AB129" t="s">
        <v>60</v>
      </c>
      <c r="AC129">
        <v>1</v>
      </c>
      <c r="AD129" t="s">
        <v>60</v>
      </c>
      <c r="AE129">
        <v>1</v>
      </c>
      <c r="AF129" t="s">
        <v>60</v>
      </c>
      <c r="AG129">
        <v>1</v>
      </c>
      <c r="AH129" t="s">
        <v>60</v>
      </c>
      <c r="AI129">
        <v>1</v>
      </c>
      <c r="AJ129" t="s">
        <v>59</v>
      </c>
      <c r="AK129">
        <v>0</v>
      </c>
      <c r="AL129" t="s">
        <v>60</v>
      </c>
      <c r="AM129">
        <v>1</v>
      </c>
      <c r="AN129" t="s">
        <v>60</v>
      </c>
      <c r="AO129">
        <v>1</v>
      </c>
      <c r="AP129" t="s">
        <v>60</v>
      </c>
      <c r="AQ129">
        <v>1</v>
      </c>
      <c r="AR129" t="s">
        <v>59</v>
      </c>
      <c r="AS129">
        <v>0</v>
      </c>
      <c r="AT129" t="s">
        <v>60</v>
      </c>
      <c r="AU129">
        <v>1</v>
      </c>
      <c r="AV129">
        <f t="shared" si="1"/>
        <v>14</v>
      </c>
      <c r="AW129" t="str">
        <f>IF(Table1[[#This Row],[Pontuação final]]&lt;=2,"Nenhum", IF(Table1[[#This Row],[Pontuação final]]&lt;=12,"Leve", IF(Table1[[#This Row],[Pontuação final]]&lt;=22,"Moderado", "Grave")))</f>
        <v>Moderado</v>
      </c>
    </row>
    <row r="130" spans="1:49" x14ac:dyDescent="0.3">
      <c r="A130">
        <v>130</v>
      </c>
      <c r="B130" t="s">
        <v>66</v>
      </c>
      <c r="C130" s="1">
        <v>23</v>
      </c>
      <c r="D130" s="1">
        <v>70</v>
      </c>
      <c r="E130" s="1">
        <v>1.56</v>
      </c>
      <c r="F130" t="s">
        <v>50</v>
      </c>
      <c r="G130" t="s">
        <v>105</v>
      </c>
      <c r="H130" t="s">
        <v>52</v>
      </c>
      <c r="I130" t="s">
        <v>97</v>
      </c>
      <c r="K130" t="s">
        <v>192</v>
      </c>
      <c r="L130" t="s">
        <v>74</v>
      </c>
      <c r="M130" t="s">
        <v>56</v>
      </c>
      <c r="O130" t="s">
        <v>65</v>
      </c>
      <c r="P130" t="s">
        <v>58</v>
      </c>
      <c r="Q130">
        <v>2</v>
      </c>
      <c r="R130" t="s">
        <v>60</v>
      </c>
      <c r="S130">
        <v>1</v>
      </c>
      <c r="T130" t="s">
        <v>60</v>
      </c>
      <c r="U130">
        <v>1</v>
      </c>
      <c r="V130" t="s">
        <v>58</v>
      </c>
      <c r="W130">
        <v>2</v>
      </c>
      <c r="X130" t="s">
        <v>60</v>
      </c>
      <c r="Y130">
        <v>1</v>
      </c>
      <c r="Z130" t="s">
        <v>59</v>
      </c>
      <c r="AA130">
        <v>0</v>
      </c>
      <c r="AB130" t="s">
        <v>59</v>
      </c>
      <c r="AC130">
        <v>0</v>
      </c>
      <c r="AD130" t="s">
        <v>60</v>
      </c>
      <c r="AE130">
        <v>1</v>
      </c>
      <c r="AF130" t="s">
        <v>60</v>
      </c>
      <c r="AG130">
        <v>1</v>
      </c>
      <c r="AH130" t="s">
        <v>58</v>
      </c>
      <c r="AI130">
        <v>2</v>
      </c>
      <c r="AJ130" t="s">
        <v>58</v>
      </c>
      <c r="AK130">
        <v>2</v>
      </c>
      <c r="AL130" t="s">
        <v>58</v>
      </c>
      <c r="AM130">
        <v>2</v>
      </c>
      <c r="AN130" t="s">
        <v>58</v>
      </c>
      <c r="AO130">
        <v>2</v>
      </c>
      <c r="AP130" t="s">
        <v>59</v>
      </c>
      <c r="AQ130">
        <v>0</v>
      </c>
      <c r="AR130" t="s">
        <v>59</v>
      </c>
      <c r="AS130">
        <v>0</v>
      </c>
      <c r="AT130" t="s">
        <v>58</v>
      </c>
      <c r="AU130">
        <v>2</v>
      </c>
      <c r="AV130">
        <f t="shared" ref="AV130:AV193" si="2">SUM(Q130,S130,U130,W130,Y130,AA130,AC130,AE130,AG130,AI130,AK130,AM130,AO130,AQ130,AS130,AU130)</f>
        <v>19</v>
      </c>
      <c r="AW130" t="str">
        <f>IF(Table1[[#This Row],[Pontuação final]]&lt;=2,"Nenhum", IF(Table1[[#This Row],[Pontuação final]]&lt;=12,"Leve", IF(Table1[[#This Row],[Pontuação final]]&lt;=22,"Moderado", "Grave")))</f>
        <v>Moderado</v>
      </c>
    </row>
    <row r="131" spans="1:49" x14ac:dyDescent="0.3">
      <c r="A131">
        <v>131</v>
      </c>
      <c r="B131" t="s">
        <v>49</v>
      </c>
      <c r="C131" s="1">
        <v>22</v>
      </c>
      <c r="D131" s="1">
        <v>77</v>
      </c>
      <c r="E131" s="1">
        <v>1.67</v>
      </c>
      <c r="F131" t="s">
        <v>50</v>
      </c>
      <c r="G131" t="s">
        <v>67</v>
      </c>
      <c r="H131" t="s">
        <v>52</v>
      </c>
      <c r="I131" t="s">
        <v>72</v>
      </c>
      <c r="K131" t="s">
        <v>70</v>
      </c>
      <c r="L131" t="s">
        <v>55</v>
      </c>
      <c r="M131" t="s">
        <v>75</v>
      </c>
      <c r="O131" t="s">
        <v>65</v>
      </c>
      <c r="P131" t="s">
        <v>58</v>
      </c>
      <c r="Q131">
        <v>2</v>
      </c>
      <c r="R131" t="s">
        <v>58</v>
      </c>
      <c r="S131">
        <v>2</v>
      </c>
      <c r="T131" t="s">
        <v>59</v>
      </c>
      <c r="U131">
        <v>0</v>
      </c>
      <c r="V131" t="s">
        <v>58</v>
      </c>
      <c r="W131">
        <v>2</v>
      </c>
      <c r="X131" t="s">
        <v>59</v>
      </c>
      <c r="Y131">
        <v>0</v>
      </c>
      <c r="Z131" t="s">
        <v>59</v>
      </c>
      <c r="AA131">
        <v>0</v>
      </c>
      <c r="AB131" t="s">
        <v>59</v>
      </c>
      <c r="AC131">
        <v>0</v>
      </c>
      <c r="AD131" t="s">
        <v>60</v>
      </c>
      <c r="AE131">
        <v>1</v>
      </c>
      <c r="AF131" t="s">
        <v>60</v>
      </c>
      <c r="AG131">
        <v>1</v>
      </c>
      <c r="AH131" t="s">
        <v>58</v>
      </c>
      <c r="AI131">
        <v>2</v>
      </c>
      <c r="AJ131" t="s">
        <v>60</v>
      </c>
      <c r="AK131">
        <v>1</v>
      </c>
      <c r="AL131" t="s">
        <v>58</v>
      </c>
      <c r="AM131">
        <v>2</v>
      </c>
      <c r="AN131" t="s">
        <v>59</v>
      </c>
      <c r="AO131">
        <v>0</v>
      </c>
      <c r="AP131" t="s">
        <v>59</v>
      </c>
      <c r="AQ131">
        <v>0</v>
      </c>
      <c r="AR131" t="s">
        <v>60</v>
      </c>
      <c r="AS131">
        <v>1</v>
      </c>
      <c r="AT131" t="s">
        <v>58</v>
      </c>
      <c r="AU131">
        <v>2</v>
      </c>
      <c r="AV131">
        <f t="shared" si="2"/>
        <v>16</v>
      </c>
      <c r="AW131" t="str">
        <f>IF(Table1[[#This Row],[Pontuação final]]&lt;=2,"Nenhum", IF(Table1[[#This Row],[Pontuação final]]&lt;=12,"Leve", IF(Table1[[#This Row],[Pontuação final]]&lt;=22,"Moderado", "Grave")))</f>
        <v>Moderado</v>
      </c>
    </row>
    <row r="132" spans="1:49" x14ac:dyDescent="0.3">
      <c r="A132">
        <v>132</v>
      </c>
      <c r="B132" t="s">
        <v>49</v>
      </c>
      <c r="C132" s="1">
        <v>17</v>
      </c>
      <c r="D132" s="1">
        <v>62</v>
      </c>
      <c r="E132">
        <v>1.74</v>
      </c>
      <c r="F132" t="s">
        <v>111</v>
      </c>
      <c r="G132" t="s">
        <v>79</v>
      </c>
      <c r="H132" t="s">
        <v>52</v>
      </c>
      <c r="I132" t="s">
        <v>62</v>
      </c>
      <c r="K132" t="s">
        <v>193</v>
      </c>
      <c r="L132" t="s">
        <v>55</v>
      </c>
      <c r="M132" t="s">
        <v>75</v>
      </c>
      <c r="O132" t="s">
        <v>82</v>
      </c>
      <c r="P132" t="s">
        <v>58</v>
      </c>
      <c r="Q132">
        <v>2</v>
      </c>
      <c r="R132" t="s">
        <v>60</v>
      </c>
      <c r="S132">
        <v>1</v>
      </c>
      <c r="T132" t="s">
        <v>60</v>
      </c>
      <c r="U132">
        <v>1</v>
      </c>
      <c r="V132" t="s">
        <v>60</v>
      </c>
      <c r="W132">
        <v>1</v>
      </c>
      <c r="X132" t="s">
        <v>59</v>
      </c>
      <c r="Y132">
        <v>0</v>
      </c>
      <c r="Z132" t="s">
        <v>59</v>
      </c>
      <c r="AA132">
        <v>0</v>
      </c>
      <c r="AB132" t="s">
        <v>59</v>
      </c>
      <c r="AC132">
        <v>0</v>
      </c>
      <c r="AD132" t="s">
        <v>59</v>
      </c>
      <c r="AE132">
        <v>0</v>
      </c>
      <c r="AF132" t="s">
        <v>60</v>
      </c>
      <c r="AG132">
        <v>1</v>
      </c>
      <c r="AH132" t="s">
        <v>59</v>
      </c>
      <c r="AI132">
        <v>0</v>
      </c>
      <c r="AJ132" t="s">
        <v>59</v>
      </c>
      <c r="AK132">
        <v>0</v>
      </c>
      <c r="AL132" t="s">
        <v>59</v>
      </c>
      <c r="AM132">
        <v>0</v>
      </c>
      <c r="AN132" t="s">
        <v>59</v>
      </c>
      <c r="AO132">
        <v>0</v>
      </c>
      <c r="AP132" t="s">
        <v>59</v>
      </c>
      <c r="AQ132">
        <v>0</v>
      </c>
      <c r="AR132" t="s">
        <v>58</v>
      </c>
      <c r="AS132">
        <v>2</v>
      </c>
      <c r="AT132" t="s">
        <v>60</v>
      </c>
      <c r="AU132">
        <v>1</v>
      </c>
      <c r="AV132">
        <f t="shared" si="2"/>
        <v>9</v>
      </c>
      <c r="AW132" t="str">
        <f>IF(Table1[[#This Row],[Pontuação final]]&lt;=2,"Nenhum", IF(Table1[[#This Row],[Pontuação final]]&lt;=12,"Leve", IF(Table1[[#This Row],[Pontuação final]]&lt;=22,"Moderado", "Grave")))</f>
        <v>Leve</v>
      </c>
    </row>
    <row r="133" spans="1:49" x14ac:dyDescent="0.3">
      <c r="A133">
        <v>133</v>
      </c>
      <c r="B133" t="s">
        <v>66</v>
      </c>
      <c r="C133" s="1">
        <v>17</v>
      </c>
      <c r="D133" s="1">
        <v>79</v>
      </c>
      <c r="E133">
        <v>1.73</v>
      </c>
      <c r="F133" t="s">
        <v>111</v>
      </c>
      <c r="G133" t="s">
        <v>79</v>
      </c>
      <c r="H133" t="s">
        <v>52</v>
      </c>
      <c r="I133" t="s">
        <v>62</v>
      </c>
      <c r="K133" t="s">
        <v>194</v>
      </c>
      <c r="L133" t="s">
        <v>55</v>
      </c>
      <c r="M133" t="s">
        <v>56</v>
      </c>
      <c r="O133" t="s">
        <v>65</v>
      </c>
      <c r="P133" t="s">
        <v>58</v>
      </c>
      <c r="Q133">
        <v>2</v>
      </c>
      <c r="R133" t="s">
        <v>60</v>
      </c>
      <c r="S133">
        <v>1</v>
      </c>
      <c r="T133" t="s">
        <v>59</v>
      </c>
      <c r="U133">
        <v>0</v>
      </c>
      <c r="V133" t="s">
        <v>58</v>
      </c>
      <c r="W133">
        <v>2</v>
      </c>
      <c r="X133" t="s">
        <v>59</v>
      </c>
      <c r="Y133">
        <v>0</v>
      </c>
      <c r="Z133" t="s">
        <v>59</v>
      </c>
      <c r="AA133">
        <v>0</v>
      </c>
      <c r="AB133" t="s">
        <v>59</v>
      </c>
      <c r="AC133">
        <v>0</v>
      </c>
      <c r="AD133" t="s">
        <v>59</v>
      </c>
      <c r="AE133">
        <v>0</v>
      </c>
      <c r="AF133" t="s">
        <v>60</v>
      </c>
      <c r="AG133">
        <v>1</v>
      </c>
      <c r="AH133" t="s">
        <v>60</v>
      </c>
      <c r="AI133">
        <v>1</v>
      </c>
      <c r="AJ133" t="s">
        <v>60</v>
      </c>
      <c r="AK133">
        <v>1</v>
      </c>
      <c r="AL133" t="s">
        <v>60</v>
      </c>
      <c r="AM133">
        <v>1</v>
      </c>
      <c r="AN133" t="s">
        <v>59</v>
      </c>
      <c r="AO133">
        <v>0</v>
      </c>
      <c r="AP133" t="s">
        <v>59</v>
      </c>
      <c r="AQ133">
        <v>0</v>
      </c>
      <c r="AR133" t="s">
        <v>59</v>
      </c>
      <c r="AS133">
        <v>0</v>
      </c>
      <c r="AT133" t="s">
        <v>60</v>
      </c>
      <c r="AU133">
        <v>1</v>
      </c>
      <c r="AV133">
        <f t="shared" si="2"/>
        <v>10</v>
      </c>
      <c r="AW133" t="str">
        <f>IF(Table1[[#This Row],[Pontuação final]]&lt;=2,"Nenhum", IF(Table1[[#This Row],[Pontuação final]]&lt;=12,"Leve", IF(Table1[[#This Row],[Pontuação final]]&lt;=22,"Moderado", "Grave")))</f>
        <v>Leve</v>
      </c>
    </row>
    <row r="134" spans="1:49" x14ac:dyDescent="0.3">
      <c r="A134">
        <v>134</v>
      </c>
      <c r="B134" t="s">
        <v>49</v>
      </c>
      <c r="C134" s="1">
        <v>21</v>
      </c>
      <c r="D134" s="1">
        <v>77</v>
      </c>
      <c r="E134">
        <v>1.81</v>
      </c>
      <c r="F134" t="s">
        <v>61</v>
      </c>
      <c r="G134" t="s">
        <v>90</v>
      </c>
      <c r="H134" t="s">
        <v>52</v>
      </c>
      <c r="I134" t="s">
        <v>53</v>
      </c>
      <c r="K134" t="s">
        <v>63</v>
      </c>
      <c r="L134" t="s">
        <v>55</v>
      </c>
      <c r="M134" t="s">
        <v>56</v>
      </c>
      <c r="O134" t="s">
        <v>57</v>
      </c>
      <c r="P134" t="s">
        <v>58</v>
      </c>
      <c r="Q134">
        <v>2</v>
      </c>
      <c r="R134" t="s">
        <v>60</v>
      </c>
      <c r="S134">
        <v>1</v>
      </c>
      <c r="T134" t="s">
        <v>59</v>
      </c>
      <c r="U134">
        <v>0</v>
      </c>
      <c r="V134" t="s">
        <v>58</v>
      </c>
      <c r="W134">
        <v>2</v>
      </c>
      <c r="X134" t="s">
        <v>60</v>
      </c>
      <c r="Y134">
        <v>1</v>
      </c>
      <c r="Z134" t="s">
        <v>59</v>
      </c>
      <c r="AA134">
        <v>0</v>
      </c>
      <c r="AB134" t="s">
        <v>60</v>
      </c>
      <c r="AC134">
        <v>1</v>
      </c>
      <c r="AD134" t="s">
        <v>59</v>
      </c>
      <c r="AE134">
        <v>0</v>
      </c>
      <c r="AF134" t="s">
        <v>60</v>
      </c>
      <c r="AG134">
        <v>1</v>
      </c>
      <c r="AH134" t="s">
        <v>58</v>
      </c>
      <c r="AI134">
        <v>2</v>
      </c>
      <c r="AJ134" t="s">
        <v>58</v>
      </c>
      <c r="AK134">
        <v>2</v>
      </c>
      <c r="AL134" t="s">
        <v>58</v>
      </c>
      <c r="AM134">
        <v>2</v>
      </c>
      <c r="AN134" t="s">
        <v>60</v>
      </c>
      <c r="AO134">
        <v>1</v>
      </c>
      <c r="AP134" t="s">
        <v>60</v>
      </c>
      <c r="AQ134">
        <v>1</v>
      </c>
      <c r="AR134" t="s">
        <v>59</v>
      </c>
      <c r="AS134">
        <v>0</v>
      </c>
      <c r="AT134" t="s">
        <v>60</v>
      </c>
      <c r="AU134">
        <v>1</v>
      </c>
      <c r="AV134">
        <f t="shared" si="2"/>
        <v>17</v>
      </c>
      <c r="AW134" t="str">
        <f>IF(Table1[[#This Row],[Pontuação final]]&lt;=2,"Nenhum", IF(Table1[[#This Row],[Pontuação final]]&lt;=12,"Leve", IF(Table1[[#This Row],[Pontuação final]]&lt;=22,"Moderado", "Grave")))</f>
        <v>Moderado</v>
      </c>
    </row>
    <row r="135" spans="1:49" x14ac:dyDescent="0.3">
      <c r="A135">
        <v>135</v>
      </c>
      <c r="B135" t="s">
        <v>49</v>
      </c>
      <c r="C135" s="1">
        <v>19</v>
      </c>
      <c r="D135" s="1">
        <v>105</v>
      </c>
      <c r="E135">
        <v>1.8</v>
      </c>
      <c r="F135" t="s">
        <v>61</v>
      </c>
      <c r="G135" t="s">
        <v>79</v>
      </c>
      <c r="H135" t="s">
        <v>68</v>
      </c>
      <c r="I135" t="s">
        <v>62</v>
      </c>
      <c r="J135" t="s">
        <v>195</v>
      </c>
      <c r="K135" t="s">
        <v>70</v>
      </c>
      <c r="L135" t="s">
        <v>55</v>
      </c>
      <c r="M135" t="s">
        <v>64</v>
      </c>
      <c r="O135" t="s">
        <v>57</v>
      </c>
      <c r="P135" t="s">
        <v>60</v>
      </c>
      <c r="Q135">
        <v>1</v>
      </c>
      <c r="R135" t="s">
        <v>60</v>
      </c>
      <c r="S135">
        <v>1</v>
      </c>
      <c r="T135" t="s">
        <v>59</v>
      </c>
      <c r="U135">
        <v>0</v>
      </c>
      <c r="V135" t="s">
        <v>60</v>
      </c>
      <c r="W135">
        <v>1</v>
      </c>
      <c r="X135" t="s">
        <v>59</v>
      </c>
      <c r="Y135">
        <v>0</v>
      </c>
      <c r="Z135" t="s">
        <v>59</v>
      </c>
      <c r="AA135">
        <v>0</v>
      </c>
      <c r="AB135" t="s">
        <v>59</v>
      </c>
      <c r="AC135">
        <v>0</v>
      </c>
      <c r="AD135" t="s">
        <v>59</v>
      </c>
      <c r="AE135">
        <v>0</v>
      </c>
      <c r="AF135" t="s">
        <v>60</v>
      </c>
      <c r="AG135">
        <v>1</v>
      </c>
      <c r="AH135" t="s">
        <v>59</v>
      </c>
      <c r="AI135">
        <v>0</v>
      </c>
      <c r="AJ135" t="s">
        <v>59</v>
      </c>
      <c r="AK135">
        <v>0</v>
      </c>
      <c r="AL135" t="s">
        <v>60</v>
      </c>
      <c r="AM135">
        <v>1</v>
      </c>
      <c r="AN135" t="s">
        <v>60</v>
      </c>
      <c r="AO135">
        <v>1</v>
      </c>
      <c r="AP135" t="s">
        <v>59</v>
      </c>
      <c r="AQ135">
        <v>0</v>
      </c>
      <c r="AR135" t="s">
        <v>59</v>
      </c>
      <c r="AS135">
        <v>0</v>
      </c>
      <c r="AT135" t="s">
        <v>60</v>
      </c>
      <c r="AU135">
        <v>1</v>
      </c>
      <c r="AV135">
        <f t="shared" si="2"/>
        <v>7</v>
      </c>
      <c r="AW135" t="str">
        <f>IF(Table1[[#This Row],[Pontuação final]]&lt;=2,"Nenhum", IF(Table1[[#This Row],[Pontuação final]]&lt;=12,"Leve", IF(Table1[[#This Row],[Pontuação final]]&lt;=22,"Moderado", "Grave")))</f>
        <v>Leve</v>
      </c>
    </row>
    <row r="136" spans="1:49" x14ac:dyDescent="0.3">
      <c r="A136">
        <v>136</v>
      </c>
      <c r="B136" t="s">
        <v>49</v>
      </c>
      <c r="C136" s="1">
        <v>18</v>
      </c>
      <c r="D136" s="1">
        <v>60</v>
      </c>
      <c r="E136" s="1">
        <v>1.72</v>
      </c>
      <c r="F136" t="s">
        <v>94</v>
      </c>
      <c r="G136" t="s">
        <v>79</v>
      </c>
      <c r="H136" t="s">
        <v>52</v>
      </c>
      <c r="I136" t="s">
        <v>62</v>
      </c>
      <c r="K136" t="s">
        <v>196</v>
      </c>
      <c r="L136" t="s">
        <v>55</v>
      </c>
      <c r="M136" t="s">
        <v>75</v>
      </c>
      <c r="O136" t="s">
        <v>57</v>
      </c>
      <c r="P136" t="s">
        <v>60</v>
      </c>
      <c r="Q136">
        <v>1</v>
      </c>
      <c r="R136" t="s">
        <v>58</v>
      </c>
      <c r="S136">
        <v>2</v>
      </c>
      <c r="T136" t="s">
        <v>60</v>
      </c>
      <c r="U136">
        <v>1</v>
      </c>
      <c r="V136" t="s">
        <v>58</v>
      </c>
      <c r="W136">
        <v>2</v>
      </c>
      <c r="X136" t="s">
        <v>59</v>
      </c>
      <c r="Y136">
        <v>0</v>
      </c>
      <c r="Z136" t="s">
        <v>59</v>
      </c>
      <c r="AA136">
        <v>0</v>
      </c>
      <c r="AB136" t="s">
        <v>60</v>
      </c>
      <c r="AC136">
        <v>1</v>
      </c>
      <c r="AD136" t="s">
        <v>60</v>
      </c>
      <c r="AE136">
        <v>1</v>
      </c>
      <c r="AF136" t="s">
        <v>60</v>
      </c>
      <c r="AG136">
        <v>1</v>
      </c>
      <c r="AH136" t="s">
        <v>59</v>
      </c>
      <c r="AI136">
        <v>0</v>
      </c>
      <c r="AJ136" t="s">
        <v>59</v>
      </c>
      <c r="AK136">
        <v>0</v>
      </c>
      <c r="AL136" t="s">
        <v>60</v>
      </c>
      <c r="AM136">
        <v>1</v>
      </c>
      <c r="AN136" t="s">
        <v>59</v>
      </c>
      <c r="AO136">
        <v>0</v>
      </c>
      <c r="AP136" t="s">
        <v>60</v>
      </c>
      <c r="AQ136">
        <v>1</v>
      </c>
      <c r="AR136" t="s">
        <v>59</v>
      </c>
      <c r="AS136">
        <v>0</v>
      </c>
      <c r="AT136" t="s">
        <v>60</v>
      </c>
      <c r="AU136">
        <v>1</v>
      </c>
      <c r="AV136">
        <f t="shared" si="2"/>
        <v>12</v>
      </c>
      <c r="AW136" t="str">
        <f>IF(Table1[[#This Row],[Pontuação final]]&lt;=2,"Nenhum", IF(Table1[[#This Row],[Pontuação final]]&lt;=12,"Leve", IF(Table1[[#This Row],[Pontuação final]]&lt;=22,"Moderado", "Grave")))</f>
        <v>Leve</v>
      </c>
    </row>
    <row r="137" spans="1:49" x14ac:dyDescent="0.3">
      <c r="A137">
        <v>137</v>
      </c>
      <c r="B137" t="s">
        <v>49</v>
      </c>
      <c r="C137" s="1">
        <v>21</v>
      </c>
      <c r="D137" s="1">
        <v>75</v>
      </c>
      <c r="E137">
        <v>1.8</v>
      </c>
      <c r="F137" t="s">
        <v>61</v>
      </c>
      <c r="G137" t="s">
        <v>90</v>
      </c>
      <c r="H137" t="s">
        <v>68</v>
      </c>
      <c r="I137" t="s">
        <v>72</v>
      </c>
      <c r="K137" t="s">
        <v>89</v>
      </c>
      <c r="L137" t="s">
        <v>55</v>
      </c>
      <c r="M137" t="s">
        <v>64</v>
      </c>
      <c r="O137" t="s">
        <v>57</v>
      </c>
      <c r="P137" t="s">
        <v>60</v>
      </c>
      <c r="Q137">
        <v>1</v>
      </c>
      <c r="R137" t="s">
        <v>58</v>
      </c>
      <c r="S137">
        <v>2</v>
      </c>
      <c r="T137" t="s">
        <v>58</v>
      </c>
      <c r="U137">
        <v>2</v>
      </c>
      <c r="V137" t="s">
        <v>60</v>
      </c>
      <c r="W137">
        <v>1</v>
      </c>
      <c r="X137" t="s">
        <v>59</v>
      </c>
      <c r="Y137">
        <v>0</v>
      </c>
      <c r="Z137" t="s">
        <v>59</v>
      </c>
      <c r="AA137">
        <v>0</v>
      </c>
      <c r="AB137" t="s">
        <v>59</v>
      </c>
      <c r="AC137">
        <v>0</v>
      </c>
      <c r="AD137" t="s">
        <v>59</v>
      </c>
      <c r="AE137">
        <v>0</v>
      </c>
      <c r="AF137" t="s">
        <v>60</v>
      </c>
      <c r="AG137">
        <v>1</v>
      </c>
      <c r="AH137" t="s">
        <v>59</v>
      </c>
      <c r="AI137">
        <v>0</v>
      </c>
      <c r="AJ137" t="s">
        <v>59</v>
      </c>
      <c r="AK137">
        <v>0</v>
      </c>
      <c r="AL137" t="s">
        <v>60</v>
      </c>
      <c r="AM137">
        <v>1</v>
      </c>
      <c r="AN137" t="s">
        <v>59</v>
      </c>
      <c r="AO137">
        <v>0</v>
      </c>
      <c r="AP137" t="s">
        <v>59</v>
      </c>
      <c r="AQ137">
        <v>0</v>
      </c>
      <c r="AR137" t="s">
        <v>59</v>
      </c>
      <c r="AS137">
        <v>0</v>
      </c>
      <c r="AT137" t="s">
        <v>60</v>
      </c>
      <c r="AU137">
        <v>1</v>
      </c>
      <c r="AV137">
        <f t="shared" si="2"/>
        <v>9</v>
      </c>
      <c r="AW137" t="str">
        <f>IF(Table1[[#This Row],[Pontuação final]]&lt;=2,"Nenhum", IF(Table1[[#This Row],[Pontuação final]]&lt;=12,"Leve", IF(Table1[[#This Row],[Pontuação final]]&lt;=22,"Moderado", "Grave")))</f>
        <v>Leve</v>
      </c>
    </row>
    <row r="138" spans="1:49" x14ac:dyDescent="0.3">
      <c r="A138">
        <v>138</v>
      </c>
      <c r="B138" t="s">
        <v>66</v>
      </c>
      <c r="C138" s="1">
        <v>20</v>
      </c>
      <c r="D138" s="1">
        <v>55</v>
      </c>
      <c r="E138" s="1">
        <v>1.7</v>
      </c>
      <c r="F138" t="s">
        <v>61</v>
      </c>
      <c r="G138" t="s">
        <v>90</v>
      </c>
      <c r="H138" t="s">
        <v>52</v>
      </c>
      <c r="I138" t="s">
        <v>53</v>
      </c>
      <c r="K138" t="s">
        <v>89</v>
      </c>
      <c r="L138" t="s">
        <v>55</v>
      </c>
      <c r="M138" t="s">
        <v>56</v>
      </c>
      <c r="O138" t="s">
        <v>57</v>
      </c>
      <c r="P138" t="s">
        <v>60</v>
      </c>
      <c r="Q138">
        <v>1</v>
      </c>
      <c r="R138" t="s">
        <v>58</v>
      </c>
      <c r="S138">
        <v>2</v>
      </c>
      <c r="T138" t="s">
        <v>58</v>
      </c>
      <c r="U138">
        <v>2</v>
      </c>
      <c r="V138" t="s">
        <v>60</v>
      </c>
      <c r="W138">
        <v>1</v>
      </c>
      <c r="X138" t="s">
        <v>60</v>
      </c>
      <c r="Y138">
        <v>1</v>
      </c>
      <c r="Z138" t="s">
        <v>59</v>
      </c>
      <c r="AA138">
        <v>0</v>
      </c>
      <c r="AB138" t="s">
        <v>59</v>
      </c>
      <c r="AC138">
        <v>0</v>
      </c>
      <c r="AD138" t="s">
        <v>58</v>
      </c>
      <c r="AE138">
        <v>2</v>
      </c>
      <c r="AF138" t="s">
        <v>60</v>
      </c>
      <c r="AG138">
        <v>1</v>
      </c>
      <c r="AH138" t="s">
        <v>60</v>
      </c>
      <c r="AI138">
        <v>1</v>
      </c>
      <c r="AJ138" t="s">
        <v>58</v>
      </c>
      <c r="AK138">
        <v>2</v>
      </c>
      <c r="AL138" t="s">
        <v>58</v>
      </c>
      <c r="AM138">
        <v>2</v>
      </c>
      <c r="AN138" t="s">
        <v>59</v>
      </c>
      <c r="AO138">
        <v>0</v>
      </c>
      <c r="AP138" t="s">
        <v>59</v>
      </c>
      <c r="AQ138">
        <v>0</v>
      </c>
      <c r="AR138" t="s">
        <v>59</v>
      </c>
      <c r="AS138">
        <v>0</v>
      </c>
      <c r="AT138" t="s">
        <v>58</v>
      </c>
      <c r="AU138">
        <v>2</v>
      </c>
      <c r="AV138">
        <f t="shared" si="2"/>
        <v>17</v>
      </c>
      <c r="AW138" t="str">
        <f>IF(Table1[[#This Row],[Pontuação final]]&lt;=2,"Nenhum", IF(Table1[[#This Row],[Pontuação final]]&lt;=12,"Leve", IF(Table1[[#This Row],[Pontuação final]]&lt;=22,"Moderado", "Grave")))</f>
        <v>Moderado</v>
      </c>
    </row>
    <row r="139" spans="1:49" x14ac:dyDescent="0.3">
      <c r="A139">
        <v>139</v>
      </c>
      <c r="B139" t="s">
        <v>49</v>
      </c>
      <c r="C139" s="1">
        <v>25</v>
      </c>
      <c r="D139" s="1">
        <v>73.5</v>
      </c>
      <c r="E139" s="1">
        <v>1.79</v>
      </c>
      <c r="F139" t="s">
        <v>61</v>
      </c>
      <c r="G139" t="s">
        <v>105</v>
      </c>
      <c r="H139" t="s">
        <v>68</v>
      </c>
      <c r="I139" t="s">
        <v>72</v>
      </c>
      <c r="K139" t="s">
        <v>135</v>
      </c>
      <c r="L139" t="s">
        <v>55</v>
      </c>
      <c r="M139" t="s">
        <v>92</v>
      </c>
      <c r="N139" t="s">
        <v>146</v>
      </c>
      <c r="O139" t="s">
        <v>82</v>
      </c>
      <c r="P139" t="s">
        <v>60</v>
      </c>
      <c r="Q139">
        <v>1</v>
      </c>
      <c r="R139" t="s">
        <v>59</v>
      </c>
      <c r="S139">
        <v>0</v>
      </c>
      <c r="T139" t="s">
        <v>60</v>
      </c>
      <c r="U139">
        <v>1</v>
      </c>
      <c r="V139" t="s">
        <v>58</v>
      </c>
      <c r="W139">
        <v>2</v>
      </c>
      <c r="X139" t="s">
        <v>59</v>
      </c>
      <c r="Y139">
        <v>0</v>
      </c>
      <c r="Z139" t="s">
        <v>59</v>
      </c>
      <c r="AA139">
        <v>0</v>
      </c>
      <c r="AB139" t="s">
        <v>60</v>
      </c>
      <c r="AC139">
        <v>1</v>
      </c>
      <c r="AD139" t="s">
        <v>59</v>
      </c>
      <c r="AE139">
        <v>0</v>
      </c>
      <c r="AF139" t="s">
        <v>60</v>
      </c>
      <c r="AG139">
        <v>1</v>
      </c>
      <c r="AH139" t="s">
        <v>58</v>
      </c>
      <c r="AI139">
        <v>2</v>
      </c>
      <c r="AJ139" t="s">
        <v>58</v>
      </c>
      <c r="AK139">
        <v>2</v>
      </c>
      <c r="AL139" t="s">
        <v>58</v>
      </c>
      <c r="AM139">
        <v>2</v>
      </c>
      <c r="AN139" t="s">
        <v>59</v>
      </c>
      <c r="AO139">
        <v>0</v>
      </c>
      <c r="AP139" t="s">
        <v>59</v>
      </c>
      <c r="AQ139">
        <v>0</v>
      </c>
      <c r="AR139" t="s">
        <v>58</v>
      </c>
      <c r="AS139">
        <v>2</v>
      </c>
      <c r="AT139" t="s">
        <v>60</v>
      </c>
      <c r="AU139">
        <v>1</v>
      </c>
      <c r="AV139">
        <f t="shared" si="2"/>
        <v>15</v>
      </c>
      <c r="AW139" t="str">
        <f>IF(Table1[[#This Row],[Pontuação final]]&lt;=2,"Nenhum", IF(Table1[[#This Row],[Pontuação final]]&lt;=12,"Leve", IF(Table1[[#This Row],[Pontuação final]]&lt;=22,"Moderado", "Grave")))</f>
        <v>Moderado</v>
      </c>
    </row>
    <row r="140" spans="1:49" x14ac:dyDescent="0.3">
      <c r="A140">
        <v>140</v>
      </c>
      <c r="B140" t="s">
        <v>49</v>
      </c>
      <c r="C140" s="1">
        <v>19</v>
      </c>
      <c r="D140" s="1">
        <v>46</v>
      </c>
      <c r="E140">
        <v>1.65</v>
      </c>
      <c r="F140" t="s">
        <v>76</v>
      </c>
      <c r="G140" t="s">
        <v>77</v>
      </c>
      <c r="H140" t="s">
        <v>68</v>
      </c>
      <c r="I140" t="s">
        <v>106</v>
      </c>
      <c r="J140" t="s">
        <v>197</v>
      </c>
      <c r="K140" t="s">
        <v>63</v>
      </c>
      <c r="L140" t="s">
        <v>55</v>
      </c>
      <c r="M140" t="s">
        <v>64</v>
      </c>
      <c r="O140" t="s">
        <v>65</v>
      </c>
      <c r="P140" t="s">
        <v>58</v>
      </c>
      <c r="Q140">
        <v>2</v>
      </c>
      <c r="R140" t="s">
        <v>59</v>
      </c>
      <c r="S140">
        <v>0</v>
      </c>
      <c r="T140" t="s">
        <v>60</v>
      </c>
      <c r="U140">
        <v>1</v>
      </c>
      <c r="V140" t="s">
        <v>58</v>
      </c>
      <c r="W140">
        <v>2</v>
      </c>
      <c r="X140" t="s">
        <v>59</v>
      </c>
      <c r="Y140">
        <v>0</v>
      </c>
      <c r="Z140" t="s">
        <v>59</v>
      </c>
      <c r="AA140">
        <v>0</v>
      </c>
      <c r="AB140" t="s">
        <v>59</v>
      </c>
      <c r="AC140">
        <v>0</v>
      </c>
      <c r="AD140" t="s">
        <v>60</v>
      </c>
      <c r="AE140">
        <v>1</v>
      </c>
      <c r="AF140" t="s">
        <v>59</v>
      </c>
      <c r="AG140">
        <v>0</v>
      </c>
      <c r="AH140" t="s">
        <v>59</v>
      </c>
      <c r="AI140">
        <v>0</v>
      </c>
      <c r="AJ140" t="s">
        <v>59</v>
      </c>
      <c r="AK140">
        <v>0</v>
      </c>
      <c r="AL140" t="s">
        <v>60</v>
      </c>
      <c r="AM140">
        <v>1</v>
      </c>
      <c r="AN140" t="s">
        <v>59</v>
      </c>
      <c r="AO140">
        <v>0</v>
      </c>
      <c r="AP140" t="s">
        <v>58</v>
      </c>
      <c r="AQ140">
        <v>2</v>
      </c>
      <c r="AR140" t="s">
        <v>59</v>
      </c>
      <c r="AS140">
        <v>0</v>
      </c>
      <c r="AT140" t="s">
        <v>60</v>
      </c>
      <c r="AU140">
        <v>1</v>
      </c>
      <c r="AV140">
        <f t="shared" si="2"/>
        <v>10</v>
      </c>
      <c r="AW140" t="str">
        <f>IF(Table1[[#This Row],[Pontuação final]]&lt;=2,"Nenhum", IF(Table1[[#This Row],[Pontuação final]]&lt;=12,"Leve", IF(Table1[[#This Row],[Pontuação final]]&lt;=22,"Moderado", "Grave")))</f>
        <v>Leve</v>
      </c>
    </row>
    <row r="141" spans="1:49" x14ac:dyDescent="0.3">
      <c r="A141">
        <v>141</v>
      </c>
      <c r="B141" t="s">
        <v>49</v>
      </c>
      <c r="C141" s="1">
        <v>19</v>
      </c>
      <c r="D141" s="1">
        <v>62</v>
      </c>
      <c r="E141" s="1">
        <v>1.75</v>
      </c>
      <c r="F141" t="s">
        <v>104</v>
      </c>
      <c r="G141" t="s">
        <v>79</v>
      </c>
      <c r="H141" t="s">
        <v>68</v>
      </c>
      <c r="I141" t="s">
        <v>72</v>
      </c>
      <c r="K141" t="s">
        <v>70</v>
      </c>
      <c r="L141" t="s">
        <v>55</v>
      </c>
      <c r="M141" t="s">
        <v>64</v>
      </c>
      <c r="O141" t="s">
        <v>65</v>
      </c>
      <c r="P141" t="s">
        <v>59</v>
      </c>
      <c r="Q141">
        <v>0</v>
      </c>
      <c r="R141" t="s">
        <v>59</v>
      </c>
      <c r="S141">
        <v>0</v>
      </c>
      <c r="T141" t="s">
        <v>58</v>
      </c>
      <c r="U141">
        <v>2</v>
      </c>
      <c r="V141" t="s">
        <v>60</v>
      </c>
      <c r="W141">
        <v>1</v>
      </c>
      <c r="X141" t="s">
        <v>59</v>
      </c>
      <c r="Y141">
        <v>0</v>
      </c>
      <c r="Z141" t="s">
        <v>59</v>
      </c>
      <c r="AA141">
        <v>0</v>
      </c>
      <c r="AB141" t="s">
        <v>59</v>
      </c>
      <c r="AC141">
        <v>0</v>
      </c>
      <c r="AD141" t="s">
        <v>59</v>
      </c>
      <c r="AE141">
        <v>0</v>
      </c>
      <c r="AF141" t="s">
        <v>59</v>
      </c>
      <c r="AG141">
        <v>0</v>
      </c>
      <c r="AH141" t="s">
        <v>59</v>
      </c>
      <c r="AI141">
        <v>0</v>
      </c>
      <c r="AJ141" t="s">
        <v>59</v>
      </c>
      <c r="AK141">
        <v>0</v>
      </c>
      <c r="AL141" t="s">
        <v>59</v>
      </c>
      <c r="AM141">
        <v>0</v>
      </c>
      <c r="AN141" t="s">
        <v>59</v>
      </c>
      <c r="AO141">
        <v>0</v>
      </c>
      <c r="AP141" t="s">
        <v>59</v>
      </c>
      <c r="AQ141">
        <v>0</v>
      </c>
      <c r="AR141" t="s">
        <v>59</v>
      </c>
      <c r="AS141">
        <v>0</v>
      </c>
      <c r="AT141" t="s">
        <v>59</v>
      </c>
      <c r="AU141">
        <v>0</v>
      </c>
      <c r="AV141">
        <f t="shared" si="2"/>
        <v>3</v>
      </c>
      <c r="AW141" t="str">
        <f>IF(Table1[[#This Row],[Pontuação final]]&lt;=2,"Nenhum", IF(Table1[[#This Row],[Pontuação final]]&lt;=12,"Leve", IF(Table1[[#This Row],[Pontuação final]]&lt;=22,"Moderado", "Grave")))</f>
        <v>Leve</v>
      </c>
    </row>
    <row r="142" spans="1:49" x14ac:dyDescent="0.3">
      <c r="A142">
        <v>142</v>
      </c>
      <c r="B142" t="s">
        <v>49</v>
      </c>
      <c r="C142" s="1">
        <v>18</v>
      </c>
      <c r="D142" s="1">
        <v>58</v>
      </c>
      <c r="E142" s="1">
        <v>1.72</v>
      </c>
      <c r="F142" t="s">
        <v>50</v>
      </c>
      <c r="G142" t="s">
        <v>79</v>
      </c>
      <c r="H142" t="s">
        <v>52</v>
      </c>
      <c r="I142" t="s">
        <v>80</v>
      </c>
      <c r="K142" t="s">
        <v>70</v>
      </c>
      <c r="L142" t="s">
        <v>55</v>
      </c>
      <c r="M142" t="s">
        <v>64</v>
      </c>
      <c r="O142" t="s">
        <v>65</v>
      </c>
      <c r="P142" t="s">
        <v>58</v>
      </c>
      <c r="Q142">
        <v>2</v>
      </c>
      <c r="R142" t="s">
        <v>59</v>
      </c>
      <c r="S142">
        <v>0</v>
      </c>
      <c r="T142" t="s">
        <v>59</v>
      </c>
      <c r="U142">
        <v>0</v>
      </c>
      <c r="V142" t="s">
        <v>58</v>
      </c>
      <c r="W142">
        <v>2</v>
      </c>
      <c r="X142" t="s">
        <v>59</v>
      </c>
      <c r="Y142">
        <v>0</v>
      </c>
      <c r="Z142" t="s">
        <v>59</v>
      </c>
      <c r="AA142">
        <v>0</v>
      </c>
      <c r="AB142" t="s">
        <v>59</v>
      </c>
      <c r="AC142">
        <v>0</v>
      </c>
      <c r="AD142" t="s">
        <v>59</v>
      </c>
      <c r="AE142">
        <v>0</v>
      </c>
      <c r="AF142" t="s">
        <v>60</v>
      </c>
      <c r="AG142">
        <v>1</v>
      </c>
      <c r="AH142" t="s">
        <v>60</v>
      </c>
      <c r="AI142">
        <v>1</v>
      </c>
      <c r="AJ142" t="s">
        <v>59</v>
      </c>
      <c r="AK142">
        <v>0</v>
      </c>
      <c r="AL142" t="s">
        <v>60</v>
      </c>
      <c r="AM142">
        <v>1</v>
      </c>
      <c r="AN142" t="s">
        <v>59</v>
      </c>
      <c r="AO142">
        <v>0</v>
      </c>
      <c r="AP142" t="s">
        <v>59</v>
      </c>
      <c r="AQ142">
        <v>0</v>
      </c>
      <c r="AR142" t="s">
        <v>59</v>
      </c>
      <c r="AS142">
        <v>0</v>
      </c>
      <c r="AT142" t="s">
        <v>60</v>
      </c>
      <c r="AU142">
        <v>1</v>
      </c>
      <c r="AV142">
        <f t="shared" si="2"/>
        <v>8</v>
      </c>
      <c r="AW142" t="str">
        <f>IF(Table1[[#This Row],[Pontuação final]]&lt;=2,"Nenhum", IF(Table1[[#This Row],[Pontuação final]]&lt;=12,"Leve", IF(Table1[[#This Row],[Pontuação final]]&lt;=22,"Moderado", "Grave")))</f>
        <v>Leve</v>
      </c>
    </row>
    <row r="143" spans="1:49" x14ac:dyDescent="0.3">
      <c r="A143">
        <v>143</v>
      </c>
      <c r="B143" t="s">
        <v>66</v>
      </c>
      <c r="C143" s="1">
        <v>21</v>
      </c>
      <c r="D143" s="1">
        <v>87</v>
      </c>
      <c r="E143" s="1">
        <v>1.67</v>
      </c>
      <c r="F143" t="s">
        <v>61</v>
      </c>
      <c r="G143" t="s">
        <v>51</v>
      </c>
      <c r="H143" t="s">
        <v>68</v>
      </c>
      <c r="I143" t="s">
        <v>198</v>
      </c>
      <c r="J143" t="s">
        <v>199</v>
      </c>
      <c r="K143" t="s">
        <v>200</v>
      </c>
      <c r="L143" t="s">
        <v>201</v>
      </c>
      <c r="M143" t="s">
        <v>92</v>
      </c>
      <c r="N143" t="s">
        <v>202</v>
      </c>
      <c r="O143" t="s">
        <v>82</v>
      </c>
      <c r="P143" t="s">
        <v>58</v>
      </c>
      <c r="Q143">
        <v>2</v>
      </c>
      <c r="R143" t="s">
        <v>60</v>
      </c>
      <c r="S143">
        <v>1</v>
      </c>
      <c r="T143" t="s">
        <v>59</v>
      </c>
      <c r="U143">
        <v>0</v>
      </c>
      <c r="V143" t="s">
        <v>58</v>
      </c>
      <c r="W143">
        <v>2</v>
      </c>
      <c r="X143" t="s">
        <v>59</v>
      </c>
      <c r="Y143">
        <v>0</v>
      </c>
      <c r="Z143" t="s">
        <v>59</v>
      </c>
      <c r="AA143">
        <v>0</v>
      </c>
      <c r="AB143" t="s">
        <v>59</v>
      </c>
      <c r="AC143">
        <v>0</v>
      </c>
      <c r="AD143" t="s">
        <v>60</v>
      </c>
      <c r="AE143">
        <v>1</v>
      </c>
      <c r="AF143" t="s">
        <v>60</v>
      </c>
      <c r="AG143">
        <v>1</v>
      </c>
      <c r="AH143" t="s">
        <v>58</v>
      </c>
      <c r="AI143">
        <v>2</v>
      </c>
      <c r="AJ143" t="s">
        <v>60</v>
      </c>
      <c r="AK143">
        <v>1</v>
      </c>
      <c r="AL143" t="s">
        <v>60</v>
      </c>
      <c r="AM143">
        <v>1</v>
      </c>
      <c r="AN143" t="s">
        <v>60</v>
      </c>
      <c r="AO143">
        <v>1</v>
      </c>
      <c r="AP143" t="s">
        <v>59</v>
      </c>
      <c r="AQ143">
        <v>0</v>
      </c>
      <c r="AR143" t="s">
        <v>60</v>
      </c>
      <c r="AS143">
        <v>1</v>
      </c>
      <c r="AT143" t="s">
        <v>58</v>
      </c>
      <c r="AU143">
        <v>2</v>
      </c>
      <c r="AV143">
        <f t="shared" si="2"/>
        <v>15</v>
      </c>
      <c r="AW143" t="str">
        <f>IF(Table1[[#This Row],[Pontuação final]]&lt;=2,"Nenhum", IF(Table1[[#This Row],[Pontuação final]]&lt;=12,"Leve", IF(Table1[[#This Row],[Pontuação final]]&lt;=22,"Moderado", "Grave")))</f>
        <v>Moderado</v>
      </c>
    </row>
    <row r="144" spans="1:49" x14ac:dyDescent="0.3">
      <c r="A144">
        <v>144</v>
      </c>
      <c r="B144" t="s">
        <v>49</v>
      </c>
      <c r="C144" s="1">
        <v>21</v>
      </c>
      <c r="D144" s="1">
        <v>71</v>
      </c>
      <c r="E144" s="1">
        <v>1.68</v>
      </c>
      <c r="F144" t="s">
        <v>76</v>
      </c>
      <c r="G144" t="s">
        <v>67</v>
      </c>
      <c r="H144" t="s">
        <v>68</v>
      </c>
      <c r="I144" t="s">
        <v>187</v>
      </c>
      <c r="K144" t="s">
        <v>70</v>
      </c>
      <c r="L144" t="s">
        <v>55</v>
      </c>
      <c r="M144" t="s">
        <v>75</v>
      </c>
      <c r="O144" t="s">
        <v>57</v>
      </c>
      <c r="P144" t="s">
        <v>60</v>
      </c>
      <c r="Q144">
        <v>1</v>
      </c>
      <c r="R144" t="s">
        <v>60</v>
      </c>
      <c r="S144">
        <v>1</v>
      </c>
      <c r="T144" t="s">
        <v>59</v>
      </c>
      <c r="U144">
        <v>0</v>
      </c>
      <c r="V144" t="s">
        <v>60</v>
      </c>
      <c r="W144">
        <v>1</v>
      </c>
      <c r="X144" t="s">
        <v>59</v>
      </c>
      <c r="Y144">
        <v>0</v>
      </c>
      <c r="Z144" t="s">
        <v>59</v>
      </c>
      <c r="AA144">
        <v>0</v>
      </c>
      <c r="AB144" t="s">
        <v>59</v>
      </c>
      <c r="AC144">
        <v>0</v>
      </c>
      <c r="AD144" t="s">
        <v>60</v>
      </c>
      <c r="AE144">
        <v>1</v>
      </c>
      <c r="AF144" t="s">
        <v>60</v>
      </c>
      <c r="AG144">
        <v>1</v>
      </c>
      <c r="AH144" t="s">
        <v>59</v>
      </c>
      <c r="AI144">
        <v>0</v>
      </c>
      <c r="AJ144" t="s">
        <v>59</v>
      </c>
      <c r="AK144">
        <v>0</v>
      </c>
      <c r="AL144" t="s">
        <v>58</v>
      </c>
      <c r="AM144">
        <v>2</v>
      </c>
      <c r="AN144" t="s">
        <v>59</v>
      </c>
      <c r="AO144">
        <v>0</v>
      </c>
      <c r="AP144" t="s">
        <v>59</v>
      </c>
      <c r="AQ144">
        <v>0</v>
      </c>
      <c r="AR144" t="s">
        <v>59</v>
      </c>
      <c r="AS144">
        <v>0</v>
      </c>
      <c r="AT144" t="s">
        <v>60</v>
      </c>
      <c r="AU144">
        <v>1</v>
      </c>
      <c r="AV144">
        <f t="shared" si="2"/>
        <v>8</v>
      </c>
      <c r="AW144" t="str">
        <f>IF(Table1[[#This Row],[Pontuação final]]&lt;=2,"Nenhum", IF(Table1[[#This Row],[Pontuação final]]&lt;=12,"Leve", IF(Table1[[#This Row],[Pontuação final]]&lt;=22,"Moderado", "Grave")))</f>
        <v>Leve</v>
      </c>
    </row>
    <row r="145" spans="1:49" x14ac:dyDescent="0.3">
      <c r="A145">
        <v>145</v>
      </c>
      <c r="B145" t="s">
        <v>49</v>
      </c>
      <c r="C145" s="1">
        <v>25</v>
      </c>
      <c r="D145" s="1">
        <v>127</v>
      </c>
      <c r="E145" s="1">
        <v>1.82</v>
      </c>
      <c r="F145" t="s">
        <v>50</v>
      </c>
      <c r="G145" t="s">
        <v>77</v>
      </c>
      <c r="H145" t="s">
        <v>52</v>
      </c>
      <c r="I145" t="s">
        <v>72</v>
      </c>
      <c r="K145" t="s">
        <v>186</v>
      </c>
      <c r="L145" t="s">
        <v>55</v>
      </c>
      <c r="M145" t="s">
        <v>64</v>
      </c>
      <c r="O145" t="s">
        <v>57</v>
      </c>
      <c r="P145" t="s">
        <v>58</v>
      </c>
      <c r="Q145">
        <v>2</v>
      </c>
      <c r="R145" t="s">
        <v>58</v>
      </c>
      <c r="S145">
        <v>2</v>
      </c>
      <c r="T145" t="s">
        <v>58</v>
      </c>
      <c r="U145">
        <v>2</v>
      </c>
      <c r="V145" t="s">
        <v>58</v>
      </c>
      <c r="W145">
        <v>2</v>
      </c>
      <c r="X145" t="s">
        <v>60</v>
      </c>
      <c r="Y145">
        <v>1</v>
      </c>
      <c r="Z145" t="s">
        <v>59</v>
      </c>
      <c r="AA145">
        <v>0</v>
      </c>
      <c r="AB145" t="s">
        <v>58</v>
      </c>
      <c r="AC145">
        <v>2</v>
      </c>
      <c r="AD145" t="s">
        <v>59</v>
      </c>
      <c r="AE145">
        <v>0</v>
      </c>
      <c r="AF145" t="s">
        <v>58</v>
      </c>
      <c r="AG145">
        <v>2</v>
      </c>
      <c r="AH145" t="s">
        <v>58</v>
      </c>
      <c r="AI145">
        <v>2</v>
      </c>
      <c r="AJ145" t="s">
        <v>58</v>
      </c>
      <c r="AK145">
        <v>2</v>
      </c>
      <c r="AL145" t="s">
        <v>58</v>
      </c>
      <c r="AM145">
        <v>2</v>
      </c>
      <c r="AN145" t="s">
        <v>60</v>
      </c>
      <c r="AO145">
        <v>1</v>
      </c>
      <c r="AP145" t="s">
        <v>58</v>
      </c>
      <c r="AQ145">
        <v>2</v>
      </c>
      <c r="AR145" t="s">
        <v>59</v>
      </c>
      <c r="AS145">
        <v>0</v>
      </c>
      <c r="AT145" t="s">
        <v>58</v>
      </c>
      <c r="AU145">
        <v>2</v>
      </c>
      <c r="AV145">
        <f t="shared" si="2"/>
        <v>24</v>
      </c>
      <c r="AW145" t="str">
        <f>IF(Table1[[#This Row],[Pontuação final]]&lt;=2,"Nenhum", IF(Table1[[#This Row],[Pontuação final]]&lt;=12,"Leve", IF(Table1[[#This Row],[Pontuação final]]&lt;=22,"Moderado", "Grave")))</f>
        <v>Grave</v>
      </c>
    </row>
    <row r="146" spans="1:49" x14ac:dyDescent="0.3">
      <c r="A146">
        <v>146</v>
      </c>
      <c r="B146" t="s">
        <v>66</v>
      </c>
      <c r="C146" s="1">
        <v>21</v>
      </c>
      <c r="D146" s="1">
        <v>59</v>
      </c>
      <c r="E146" s="1">
        <v>1.65</v>
      </c>
      <c r="F146" t="s">
        <v>61</v>
      </c>
      <c r="G146" t="s">
        <v>90</v>
      </c>
      <c r="H146" t="s">
        <v>52</v>
      </c>
      <c r="I146" t="s">
        <v>81</v>
      </c>
      <c r="K146" t="s">
        <v>203</v>
      </c>
      <c r="L146" t="s">
        <v>55</v>
      </c>
      <c r="M146" t="s">
        <v>75</v>
      </c>
      <c r="O146" t="s">
        <v>82</v>
      </c>
      <c r="P146" t="s">
        <v>58</v>
      </c>
      <c r="Q146">
        <v>2</v>
      </c>
      <c r="R146" t="s">
        <v>58</v>
      </c>
      <c r="S146">
        <v>2</v>
      </c>
      <c r="T146" t="s">
        <v>58</v>
      </c>
      <c r="U146">
        <v>2</v>
      </c>
      <c r="V146" t="s">
        <v>58</v>
      </c>
      <c r="W146">
        <v>2</v>
      </c>
      <c r="X146" t="s">
        <v>60</v>
      </c>
      <c r="Y146">
        <v>1</v>
      </c>
      <c r="Z146" t="s">
        <v>59</v>
      </c>
      <c r="AA146">
        <v>0</v>
      </c>
      <c r="AB146" t="s">
        <v>60</v>
      </c>
      <c r="AC146">
        <v>1</v>
      </c>
      <c r="AD146" t="s">
        <v>60</v>
      </c>
      <c r="AE146">
        <v>1</v>
      </c>
      <c r="AF146" t="s">
        <v>60</v>
      </c>
      <c r="AG146">
        <v>1</v>
      </c>
      <c r="AH146" t="s">
        <v>58</v>
      </c>
      <c r="AI146">
        <v>2</v>
      </c>
      <c r="AJ146" t="s">
        <v>58</v>
      </c>
      <c r="AK146">
        <v>2</v>
      </c>
      <c r="AL146" t="s">
        <v>58</v>
      </c>
      <c r="AM146">
        <v>2</v>
      </c>
      <c r="AN146" t="s">
        <v>59</v>
      </c>
      <c r="AO146">
        <v>0</v>
      </c>
      <c r="AP146" t="s">
        <v>60</v>
      </c>
      <c r="AQ146">
        <v>1</v>
      </c>
      <c r="AR146" t="s">
        <v>60</v>
      </c>
      <c r="AS146">
        <v>1</v>
      </c>
      <c r="AT146" t="s">
        <v>60</v>
      </c>
      <c r="AU146">
        <v>1</v>
      </c>
      <c r="AV146">
        <f t="shared" si="2"/>
        <v>21</v>
      </c>
      <c r="AW146" t="str">
        <f>IF(Table1[[#This Row],[Pontuação final]]&lt;=2,"Nenhum", IF(Table1[[#This Row],[Pontuação final]]&lt;=12,"Leve", IF(Table1[[#This Row],[Pontuação final]]&lt;=22,"Moderado", "Grave")))</f>
        <v>Moderado</v>
      </c>
    </row>
    <row r="147" spans="1:49" x14ac:dyDescent="0.3">
      <c r="A147">
        <v>147</v>
      </c>
      <c r="B147" t="s">
        <v>66</v>
      </c>
      <c r="C147" s="1">
        <v>22</v>
      </c>
      <c r="D147" s="1">
        <v>66</v>
      </c>
      <c r="E147" s="1">
        <v>1.7</v>
      </c>
      <c r="F147" t="s">
        <v>61</v>
      </c>
      <c r="G147" t="s">
        <v>83</v>
      </c>
      <c r="H147" t="s">
        <v>68</v>
      </c>
      <c r="I147" t="s">
        <v>198</v>
      </c>
      <c r="J147" t="s">
        <v>204</v>
      </c>
      <c r="K147" t="s">
        <v>63</v>
      </c>
      <c r="L147" t="s">
        <v>55</v>
      </c>
      <c r="M147" t="s">
        <v>75</v>
      </c>
      <c r="O147" t="s">
        <v>65</v>
      </c>
      <c r="P147" t="s">
        <v>58</v>
      </c>
      <c r="Q147">
        <v>2</v>
      </c>
      <c r="R147" t="s">
        <v>60</v>
      </c>
      <c r="S147">
        <v>1</v>
      </c>
      <c r="T147" t="s">
        <v>60</v>
      </c>
      <c r="U147">
        <v>1</v>
      </c>
      <c r="V147" t="s">
        <v>58</v>
      </c>
      <c r="W147">
        <v>2</v>
      </c>
      <c r="X147" t="s">
        <v>59</v>
      </c>
      <c r="Y147">
        <v>0</v>
      </c>
      <c r="Z147" t="s">
        <v>59</v>
      </c>
      <c r="AA147">
        <v>0</v>
      </c>
      <c r="AB147" t="s">
        <v>59</v>
      </c>
      <c r="AC147">
        <v>0</v>
      </c>
      <c r="AD147" t="s">
        <v>59</v>
      </c>
      <c r="AE147">
        <v>0</v>
      </c>
      <c r="AF147" t="s">
        <v>60</v>
      </c>
      <c r="AG147">
        <v>1</v>
      </c>
      <c r="AH147" t="s">
        <v>59</v>
      </c>
      <c r="AI147">
        <v>0</v>
      </c>
      <c r="AJ147" t="s">
        <v>59</v>
      </c>
      <c r="AK147">
        <v>0</v>
      </c>
      <c r="AL147" t="s">
        <v>60</v>
      </c>
      <c r="AM147">
        <v>1</v>
      </c>
      <c r="AN147" t="s">
        <v>59</v>
      </c>
      <c r="AO147">
        <v>0</v>
      </c>
      <c r="AP147" t="s">
        <v>59</v>
      </c>
      <c r="AQ147">
        <v>0</v>
      </c>
      <c r="AR147" t="s">
        <v>59</v>
      </c>
      <c r="AS147">
        <v>0</v>
      </c>
      <c r="AT147" t="s">
        <v>60</v>
      </c>
      <c r="AU147">
        <v>1</v>
      </c>
      <c r="AV147">
        <f t="shared" si="2"/>
        <v>9</v>
      </c>
      <c r="AW147" t="str">
        <f>IF(Table1[[#This Row],[Pontuação final]]&lt;=2,"Nenhum", IF(Table1[[#This Row],[Pontuação final]]&lt;=12,"Leve", IF(Table1[[#This Row],[Pontuação final]]&lt;=22,"Moderado", "Grave")))</f>
        <v>Leve</v>
      </c>
    </row>
    <row r="148" spans="1:49" x14ac:dyDescent="0.3">
      <c r="A148">
        <v>148</v>
      </c>
      <c r="B148" t="s">
        <v>49</v>
      </c>
      <c r="C148" s="1">
        <v>21</v>
      </c>
      <c r="D148" s="1">
        <v>61</v>
      </c>
      <c r="E148" s="1">
        <v>1.73</v>
      </c>
      <c r="F148" t="s">
        <v>50</v>
      </c>
      <c r="G148" t="s">
        <v>90</v>
      </c>
      <c r="H148" t="s">
        <v>68</v>
      </c>
      <c r="I148" t="s">
        <v>81</v>
      </c>
      <c r="K148" t="s">
        <v>70</v>
      </c>
      <c r="L148" t="s">
        <v>55</v>
      </c>
      <c r="M148" t="s">
        <v>64</v>
      </c>
      <c r="O148" t="s">
        <v>65</v>
      </c>
      <c r="P148" t="s">
        <v>58</v>
      </c>
      <c r="Q148">
        <v>2</v>
      </c>
      <c r="R148" t="s">
        <v>58</v>
      </c>
      <c r="S148">
        <v>2</v>
      </c>
      <c r="T148" t="s">
        <v>59</v>
      </c>
      <c r="U148">
        <v>0</v>
      </c>
      <c r="V148" t="s">
        <v>58</v>
      </c>
      <c r="W148">
        <v>2</v>
      </c>
      <c r="X148" t="s">
        <v>60</v>
      </c>
      <c r="Y148">
        <v>1</v>
      </c>
      <c r="Z148" t="s">
        <v>60</v>
      </c>
      <c r="AA148">
        <v>1</v>
      </c>
      <c r="AB148" t="s">
        <v>60</v>
      </c>
      <c r="AC148">
        <v>1</v>
      </c>
      <c r="AD148" t="s">
        <v>59</v>
      </c>
      <c r="AE148">
        <v>0</v>
      </c>
      <c r="AF148" t="s">
        <v>58</v>
      </c>
      <c r="AG148">
        <v>2</v>
      </c>
      <c r="AH148" t="s">
        <v>58</v>
      </c>
      <c r="AI148">
        <v>2</v>
      </c>
      <c r="AJ148" t="s">
        <v>58</v>
      </c>
      <c r="AK148">
        <v>2</v>
      </c>
      <c r="AL148" t="s">
        <v>58</v>
      </c>
      <c r="AM148">
        <v>2</v>
      </c>
      <c r="AN148" t="s">
        <v>59</v>
      </c>
      <c r="AO148">
        <v>0</v>
      </c>
      <c r="AP148" t="s">
        <v>59</v>
      </c>
      <c r="AQ148">
        <v>0</v>
      </c>
      <c r="AR148" t="s">
        <v>59</v>
      </c>
      <c r="AS148">
        <v>0</v>
      </c>
      <c r="AT148" t="s">
        <v>58</v>
      </c>
      <c r="AU148">
        <v>2</v>
      </c>
      <c r="AV148">
        <f t="shared" si="2"/>
        <v>19</v>
      </c>
      <c r="AW148" t="str">
        <f>IF(Table1[[#This Row],[Pontuação final]]&lt;=2,"Nenhum", IF(Table1[[#This Row],[Pontuação final]]&lt;=12,"Leve", IF(Table1[[#This Row],[Pontuação final]]&lt;=22,"Moderado", "Grave")))</f>
        <v>Moderado</v>
      </c>
    </row>
    <row r="149" spans="1:49" x14ac:dyDescent="0.3">
      <c r="A149">
        <v>149</v>
      </c>
      <c r="B149" t="s">
        <v>49</v>
      </c>
      <c r="C149" s="1">
        <v>22</v>
      </c>
      <c r="D149" s="1">
        <v>84</v>
      </c>
      <c r="E149" s="1">
        <v>1.85</v>
      </c>
      <c r="F149" t="s">
        <v>119</v>
      </c>
      <c r="G149" t="s">
        <v>90</v>
      </c>
      <c r="H149" t="s">
        <v>52</v>
      </c>
      <c r="I149" t="s">
        <v>80</v>
      </c>
      <c r="K149" t="s">
        <v>205</v>
      </c>
      <c r="L149" t="s">
        <v>109</v>
      </c>
      <c r="M149" t="s">
        <v>75</v>
      </c>
      <c r="O149" t="s">
        <v>57</v>
      </c>
      <c r="P149" t="s">
        <v>58</v>
      </c>
      <c r="Q149">
        <v>2</v>
      </c>
      <c r="R149" t="s">
        <v>60</v>
      </c>
      <c r="S149">
        <v>1</v>
      </c>
      <c r="T149" t="s">
        <v>58</v>
      </c>
      <c r="U149">
        <v>2</v>
      </c>
      <c r="V149" t="s">
        <v>58</v>
      </c>
      <c r="W149">
        <v>2</v>
      </c>
      <c r="X149" t="s">
        <v>59</v>
      </c>
      <c r="Y149">
        <v>0</v>
      </c>
      <c r="Z149" t="s">
        <v>59</v>
      </c>
      <c r="AA149">
        <v>0</v>
      </c>
      <c r="AB149" t="s">
        <v>59</v>
      </c>
      <c r="AC149">
        <v>0</v>
      </c>
      <c r="AD149" t="s">
        <v>59</v>
      </c>
      <c r="AE149">
        <v>0</v>
      </c>
      <c r="AF149" t="s">
        <v>58</v>
      </c>
      <c r="AG149">
        <v>2</v>
      </c>
      <c r="AH149" t="s">
        <v>60</v>
      </c>
      <c r="AI149">
        <v>1</v>
      </c>
      <c r="AJ149" t="s">
        <v>58</v>
      </c>
      <c r="AK149">
        <v>2</v>
      </c>
      <c r="AL149" t="s">
        <v>60</v>
      </c>
      <c r="AM149">
        <v>1</v>
      </c>
      <c r="AN149" t="s">
        <v>59</v>
      </c>
      <c r="AO149">
        <v>0</v>
      </c>
      <c r="AP149" t="s">
        <v>59</v>
      </c>
      <c r="AQ149">
        <v>0</v>
      </c>
      <c r="AR149" t="s">
        <v>59</v>
      </c>
      <c r="AS149">
        <v>0</v>
      </c>
      <c r="AT149" t="s">
        <v>58</v>
      </c>
      <c r="AU149">
        <v>2</v>
      </c>
      <c r="AV149">
        <f t="shared" si="2"/>
        <v>15</v>
      </c>
      <c r="AW149" t="str">
        <f>IF(Table1[[#This Row],[Pontuação final]]&lt;=2,"Nenhum", IF(Table1[[#This Row],[Pontuação final]]&lt;=12,"Leve", IF(Table1[[#This Row],[Pontuação final]]&lt;=22,"Moderado", "Grave")))</f>
        <v>Moderado</v>
      </c>
    </row>
    <row r="150" spans="1:49" x14ac:dyDescent="0.3">
      <c r="A150">
        <v>150</v>
      </c>
      <c r="B150" t="s">
        <v>49</v>
      </c>
      <c r="C150" s="1">
        <v>20</v>
      </c>
      <c r="D150" s="1">
        <v>85</v>
      </c>
      <c r="E150">
        <v>1.72</v>
      </c>
      <c r="F150" t="s">
        <v>61</v>
      </c>
      <c r="G150" t="s">
        <v>77</v>
      </c>
      <c r="H150" t="s">
        <v>68</v>
      </c>
      <c r="I150" t="s">
        <v>53</v>
      </c>
      <c r="K150" t="s">
        <v>63</v>
      </c>
      <c r="L150" t="s">
        <v>55</v>
      </c>
      <c r="M150" t="s">
        <v>75</v>
      </c>
      <c r="O150" t="s">
        <v>65</v>
      </c>
      <c r="P150" t="s">
        <v>60</v>
      </c>
      <c r="Q150">
        <v>1</v>
      </c>
      <c r="R150" t="s">
        <v>58</v>
      </c>
      <c r="S150">
        <v>2</v>
      </c>
      <c r="T150" t="s">
        <v>58</v>
      </c>
      <c r="U150">
        <v>2</v>
      </c>
      <c r="V150" t="s">
        <v>60</v>
      </c>
      <c r="W150">
        <v>1</v>
      </c>
      <c r="X150" t="s">
        <v>60</v>
      </c>
      <c r="Y150">
        <v>1</v>
      </c>
      <c r="Z150" t="s">
        <v>59</v>
      </c>
      <c r="AA150">
        <v>0</v>
      </c>
      <c r="AB150" t="s">
        <v>60</v>
      </c>
      <c r="AC150">
        <v>1</v>
      </c>
      <c r="AD150" t="s">
        <v>60</v>
      </c>
      <c r="AE150">
        <v>1</v>
      </c>
      <c r="AF150" t="s">
        <v>59</v>
      </c>
      <c r="AG150">
        <v>0</v>
      </c>
      <c r="AH150" t="s">
        <v>60</v>
      </c>
      <c r="AI150">
        <v>1</v>
      </c>
      <c r="AJ150" t="s">
        <v>59</v>
      </c>
      <c r="AK150">
        <v>0</v>
      </c>
      <c r="AL150" t="s">
        <v>60</v>
      </c>
      <c r="AM150">
        <v>1</v>
      </c>
      <c r="AN150" t="s">
        <v>59</v>
      </c>
      <c r="AO150">
        <v>0</v>
      </c>
      <c r="AP150" t="s">
        <v>60</v>
      </c>
      <c r="AQ150">
        <v>1</v>
      </c>
      <c r="AR150" t="s">
        <v>59</v>
      </c>
      <c r="AS150">
        <v>0</v>
      </c>
      <c r="AT150" t="s">
        <v>58</v>
      </c>
      <c r="AU150">
        <v>2</v>
      </c>
      <c r="AV150">
        <f t="shared" si="2"/>
        <v>14</v>
      </c>
      <c r="AW150" t="str">
        <f>IF(Table1[[#This Row],[Pontuação final]]&lt;=2,"Nenhum", IF(Table1[[#This Row],[Pontuação final]]&lt;=12,"Leve", IF(Table1[[#This Row],[Pontuação final]]&lt;=22,"Moderado", "Grave")))</f>
        <v>Moderado</v>
      </c>
    </row>
    <row r="151" spans="1:49" x14ac:dyDescent="0.3">
      <c r="A151">
        <v>151</v>
      </c>
      <c r="B151" t="s">
        <v>49</v>
      </c>
      <c r="C151" s="1">
        <v>24</v>
      </c>
      <c r="D151">
        <v>90</v>
      </c>
      <c r="E151">
        <v>1.74</v>
      </c>
      <c r="F151" t="s">
        <v>50</v>
      </c>
      <c r="G151" t="s">
        <v>102</v>
      </c>
      <c r="H151" t="s">
        <v>52</v>
      </c>
      <c r="I151" t="s">
        <v>169</v>
      </c>
      <c r="J151" t="s">
        <v>206</v>
      </c>
      <c r="K151" t="s">
        <v>207</v>
      </c>
      <c r="L151" t="s">
        <v>131</v>
      </c>
      <c r="M151" t="s">
        <v>75</v>
      </c>
      <c r="O151" t="s">
        <v>57</v>
      </c>
      <c r="P151" t="s">
        <v>60</v>
      </c>
      <c r="Q151">
        <v>1</v>
      </c>
      <c r="R151" t="s">
        <v>58</v>
      </c>
      <c r="S151">
        <v>2</v>
      </c>
      <c r="T151" t="s">
        <v>58</v>
      </c>
      <c r="U151">
        <v>2</v>
      </c>
      <c r="V151" t="s">
        <v>60</v>
      </c>
      <c r="W151">
        <v>1</v>
      </c>
      <c r="X151" t="s">
        <v>59</v>
      </c>
      <c r="Y151">
        <v>0</v>
      </c>
      <c r="Z151" t="s">
        <v>59</v>
      </c>
      <c r="AA151">
        <v>0</v>
      </c>
      <c r="AB151" t="s">
        <v>59</v>
      </c>
      <c r="AC151">
        <v>0</v>
      </c>
      <c r="AD151" t="s">
        <v>59</v>
      </c>
      <c r="AE151">
        <v>0</v>
      </c>
      <c r="AF151" t="s">
        <v>60</v>
      </c>
      <c r="AG151">
        <v>1</v>
      </c>
      <c r="AH151" t="s">
        <v>60</v>
      </c>
      <c r="AI151">
        <v>1</v>
      </c>
      <c r="AJ151" t="s">
        <v>58</v>
      </c>
      <c r="AK151">
        <v>2</v>
      </c>
      <c r="AL151" t="s">
        <v>58</v>
      </c>
      <c r="AM151">
        <v>2</v>
      </c>
      <c r="AN151" t="s">
        <v>60</v>
      </c>
      <c r="AO151">
        <v>1</v>
      </c>
      <c r="AP151" t="s">
        <v>59</v>
      </c>
      <c r="AQ151">
        <v>0</v>
      </c>
      <c r="AR151" t="s">
        <v>60</v>
      </c>
      <c r="AS151">
        <v>1</v>
      </c>
      <c r="AT151" t="s">
        <v>60</v>
      </c>
      <c r="AU151">
        <v>1</v>
      </c>
      <c r="AV151">
        <f t="shared" si="2"/>
        <v>15</v>
      </c>
      <c r="AW151" t="str">
        <f>IF(Table1[[#This Row],[Pontuação final]]&lt;=2,"Nenhum", IF(Table1[[#This Row],[Pontuação final]]&lt;=12,"Leve", IF(Table1[[#This Row],[Pontuação final]]&lt;=22,"Moderado", "Grave")))</f>
        <v>Moderado</v>
      </c>
    </row>
    <row r="152" spans="1:49" x14ac:dyDescent="0.3">
      <c r="A152">
        <v>152</v>
      </c>
      <c r="B152" t="s">
        <v>66</v>
      </c>
      <c r="C152" s="1">
        <v>26</v>
      </c>
      <c r="D152" s="1">
        <v>77</v>
      </c>
      <c r="E152" s="1">
        <v>1.57</v>
      </c>
      <c r="F152" t="s">
        <v>61</v>
      </c>
      <c r="G152" t="s">
        <v>90</v>
      </c>
      <c r="H152" t="s">
        <v>68</v>
      </c>
      <c r="I152" t="s">
        <v>72</v>
      </c>
      <c r="K152" t="s">
        <v>63</v>
      </c>
      <c r="L152" t="s">
        <v>55</v>
      </c>
      <c r="M152" t="s">
        <v>64</v>
      </c>
      <c r="O152" t="s">
        <v>82</v>
      </c>
      <c r="P152" t="s">
        <v>60</v>
      </c>
      <c r="Q152">
        <v>1</v>
      </c>
      <c r="R152" t="s">
        <v>60</v>
      </c>
      <c r="S152">
        <v>1</v>
      </c>
      <c r="T152" t="s">
        <v>59</v>
      </c>
      <c r="U152">
        <v>0</v>
      </c>
      <c r="V152" t="s">
        <v>60</v>
      </c>
      <c r="W152">
        <v>1</v>
      </c>
      <c r="X152" t="s">
        <v>60</v>
      </c>
      <c r="Y152">
        <v>1</v>
      </c>
      <c r="Z152" t="s">
        <v>59</v>
      </c>
      <c r="AA152">
        <v>0</v>
      </c>
      <c r="AB152" t="s">
        <v>59</v>
      </c>
      <c r="AC152">
        <v>0</v>
      </c>
      <c r="AD152" t="s">
        <v>59</v>
      </c>
      <c r="AE152">
        <v>0</v>
      </c>
      <c r="AF152" t="s">
        <v>60</v>
      </c>
      <c r="AG152">
        <v>1</v>
      </c>
      <c r="AH152" t="s">
        <v>60</v>
      </c>
      <c r="AI152">
        <v>1</v>
      </c>
      <c r="AJ152" t="s">
        <v>60</v>
      </c>
      <c r="AK152">
        <v>1</v>
      </c>
      <c r="AL152" t="s">
        <v>60</v>
      </c>
      <c r="AM152">
        <v>1</v>
      </c>
      <c r="AN152" t="s">
        <v>59</v>
      </c>
      <c r="AO152">
        <v>0</v>
      </c>
      <c r="AP152" t="s">
        <v>59</v>
      </c>
      <c r="AQ152">
        <v>0</v>
      </c>
      <c r="AR152" t="s">
        <v>59</v>
      </c>
      <c r="AS152">
        <v>0</v>
      </c>
      <c r="AT152" t="s">
        <v>60</v>
      </c>
      <c r="AU152">
        <v>1</v>
      </c>
      <c r="AV152">
        <f t="shared" si="2"/>
        <v>9</v>
      </c>
      <c r="AW152" t="str">
        <f>IF(Table1[[#This Row],[Pontuação final]]&lt;=2,"Nenhum", IF(Table1[[#This Row],[Pontuação final]]&lt;=12,"Leve", IF(Table1[[#This Row],[Pontuação final]]&lt;=22,"Moderado", "Grave")))</f>
        <v>Leve</v>
      </c>
    </row>
    <row r="153" spans="1:49" x14ac:dyDescent="0.3">
      <c r="A153">
        <v>153</v>
      </c>
      <c r="B153" t="s">
        <v>49</v>
      </c>
      <c r="C153" s="1">
        <v>22</v>
      </c>
      <c r="D153" s="1">
        <v>61</v>
      </c>
      <c r="E153" s="1">
        <v>1.7</v>
      </c>
      <c r="F153" t="s">
        <v>50</v>
      </c>
      <c r="G153" t="s">
        <v>102</v>
      </c>
      <c r="H153" t="s">
        <v>52</v>
      </c>
      <c r="I153" t="s">
        <v>72</v>
      </c>
      <c r="K153" t="s">
        <v>74</v>
      </c>
      <c r="L153" t="s">
        <v>74</v>
      </c>
      <c r="M153" t="s">
        <v>64</v>
      </c>
      <c r="O153" t="s">
        <v>65</v>
      </c>
      <c r="P153" t="s">
        <v>58</v>
      </c>
      <c r="Q153">
        <v>2</v>
      </c>
      <c r="R153" t="s">
        <v>59</v>
      </c>
      <c r="S153">
        <v>0</v>
      </c>
      <c r="T153" t="s">
        <v>59</v>
      </c>
      <c r="U153">
        <v>0</v>
      </c>
      <c r="V153" t="s">
        <v>58</v>
      </c>
      <c r="W153">
        <v>2</v>
      </c>
      <c r="X153" t="s">
        <v>59</v>
      </c>
      <c r="Y153">
        <v>0</v>
      </c>
      <c r="Z153" t="s">
        <v>59</v>
      </c>
      <c r="AA153">
        <v>0</v>
      </c>
      <c r="AB153" t="s">
        <v>59</v>
      </c>
      <c r="AC153">
        <v>0</v>
      </c>
      <c r="AD153" t="s">
        <v>59</v>
      </c>
      <c r="AE153">
        <v>0</v>
      </c>
      <c r="AF153" t="s">
        <v>59</v>
      </c>
      <c r="AG153">
        <v>0</v>
      </c>
      <c r="AH153" t="s">
        <v>59</v>
      </c>
      <c r="AI153">
        <v>0</v>
      </c>
      <c r="AJ153" t="s">
        <v>59</v>
      </c>
      <c r="AK153">
        <v>0</v>
      </c>
      <c r="AL153" t="s">
        <v>60</v>
      </c>
      <c r="AM153">
        <v>1</v>
      </c>
      <c r="AN153" t="s">
        <v>59</v>
      </c>
      <c r="AO153">
        <v>0</v>
      </c>
      <c r="AP153" t="s">
        <v>59</v>
      </c>
      <c r="AQ153">
        <v>0</v>
      </c>
      <c r="AR153" t="s">
        <v>59</v>
      </c>
      <c r="AS153">
        <v>0</v>
      </c>
      <c r="AT153" t="s">
        <v>60</v>
      </c>
      <c r="AU153">
        <v>1</v>
      </c>
      <c r="AV153">
        <f t="shared" si="2"/>
        <v>6</v>
      </c>
      <c r="AW153" t="str">
        <f>IF(Table1[[#This Row],[Pontuação final]]&lt;=2,"Nenhum", IF(Table1[[#This Row],[Pontuação final]]&lt;=12,"Leve", IF(Table1[[#This Row],[Pontuação final]]&lt;=22,"Moderado", "Grave")))</f>
        <v>Leve</v>
      </c>
    </row>
    <row r="154" spans="1:49" x14ac:dyDescent="0.3">
      <c r="A154">
        <v>154</v>
      </c>
      <c r="B154" t="s">
        <v>49</v>
      </c>
      <c r="C154" s="1">
        <v>18</v>
      </c>
      <c r="D154" s="1">
        <v>70</v>
      </c>
      <c r="E154">
        <v>1.55</v>
      </c>
      <c r="F154" t="s">
        <v>50</v>
      </c>
      <c r="G154" t="s">
        <v>79</v>
      </c>
      <c r="H154" t="s">
        <v>52</v>
      </c>
      <c r="I154" t="s">
        <v>62</v>
      </c>
      <c r="K154" t="s">
        <v>63</v>
      </c>
      <c r="L154" t="s">
        <v>55</v>
      </c>
      <c r="M154" t="s">
        <v>64</v>
      </c>
      <c r="O154" t="s">
        <v>65</v>
      </c>
      <c r="P154" t="s">
        <v>60</v>
      </c>
      <c r="Q154">
        <v>1</v>
      </c>
      <c r="R154" t="s">
        <v>59</v>
      </c>
      <c r="S154">
        <v>0</v>
      </c>
      <c r="T154" t="s">
        <v>59</v>
      </c>
      <c r="U154">
        <v>0</v>
      </c>
      <c r="V154" t="s">
        <v>60</v>
      </c>
      <c r="W154">
        <v>1</v>
      </c>
      <c r="X154" t="s">
        <v>59</v>
      </c>
      <c r="Y154">
        <v>0</v>
      </c>
      <c r="Z154" t="s">
        <v>59</v>
      </c>
      <c r="AA154">
        <v>0</v>
      </c>
      <c r="AB154" t="s">
        <v>59</v>
      </c>
      <c r="AC154">
        <v>0</v>
      </c>
      <c r="AD154" t="s">
        <v>59</v>
      </c>
      <c r="AE154">
        <v>0</v>
      </c>
      <c r="AF154" t="s">
        <v>59</v>
      </c>
      <c r="AG154">
        <v>0</v>
      </c>
      <c r="AH154" t="s">
        <v>59</v>
      </c>
      <c r="AI154">
        <v>0</v>
      </c>
      <c r="AJ154" t="s">
        <v>59</v>
      </c>
      <c r="AK154">
        <v>0</v>
      </c>
      <c r="AL154" t="s">
        <v>59</v>
      </c>
      <c r="AM154">
        <v>0</v>
      </c>
      <c r="AN154" t="s">
        <v>59</v>
      </c>
      <c r="AO154">
        <v>0</v>
      </c>
      <c r="AP154" t="s">
        <v>59</v>
      </c>
      <c r="AQ154">
        <v>0</v>
      </c>
      <c r="AR154" t="s">
        <v>59</v>
      </c>
      <c r="AS154">
        <v>0</v>
      </c>
      <c r="AT154" t="s">
        <v>60</v>
      </c>
      <c r="AU154">
        <v>1</v>
      </c>
      <c r="AV154">
        <f t="shared" si="2"/>
        <v>3</v>
      </c>
      <c r="AW154" t="str">
        <f>IF(Table1[[#This Row],[Pontuação final]]&lt;=2,"Nenhum", IF(Table1[[#This Row],[Pontuação final]]&lt;=12,"Leve", IF(Table1[[#This Row],[Pontuação final]]&lt;=22,"Moderado", "Grave")))</f>
        <v>Leve</v>
      </c>
    </row>
    <row r="155" spans="1:49" x14ac:dyDescent="0.3">
      <c r="A155">
        <v>155</v>
      </c>
      <c r="B155" t="s">
        <v>49</v>
      </c>
      <c r="C155" s="1">
        <v>23</v>
      </c>
      <c r="D155" s="1">
        <v>69</v>
      </c>
      <c r="E155">
        <v>1.75</v>
      </c>
      <c r="F155" t="s">
        <v>61</v>
      </c>
      <c r="G155" t="s">
        <v>67</v>
      </c>
      <c r="H155" t="s">
        <v>52</v>
      </c>
      <c r="I155" t="s">
        <v>80</v>
      </c>
      <c r="K155" t="s">
        <v>70</v>
      </c>
      <c r="L155" t="s">
        <v>55</v>
      </c>
      <c r="M155" t="s">
        <v>75</v>
      </c>
      <c r="O155" t="s">
        <v>57</v>
      </c>
      <c r="P155" t="s">
        <v>58</v>
      </c>
      <c r="Q155">
        <v>2</v>
      </c>
      <c r="R155" t="s">
        <v>59</v>
      </c>
      <c r="S155">
        <v>0</v>
      </c>
      <c r="T155" t="s">
        <v>58</v>
      </c>
      <c r="U155">
        <v>2</v>
      </c>
      <c r="V155" t="s">
        <v>58</v>
      </c>
      <c r="W155">
        <v>2</v>
      </c>
      <c r="X155" t="s">
        <v>58</v>
      </c>
      <c r="Y155">
        <v>2</v>
      </c>
      <c r="Z155" t="s">
        <v>58</v>
      </c>
      <c r="AA155">
        <v>2</v>
      </c>
      <c r="AB155" t="s">
        <v>58</v>
      </c>
      <c r="AC155">
        <v>2</v>
      </c>
      <c r="AD155" t="s">
        <v>58</v>
      </c>
      <c r="AE155">
        <v>2</v>
      </c>
      <c r="AF155" t="s">
        <v>60</v>
      </c>
      <c r="AG155">
        <v>1</v>
      </c>
      <c r="AH155" t="s">
        <v>58</v>
      </c>
      <c r="AI155">
        <v>2</v>
      </c>
      <c r="AJ155" t="s">
        <v>58</v>
      </c>
      <c r="AK155">
        <v>2</v>
      </c>
      <c r="AL155" t="s">
        <v>58</v>
      </c>
      <c r="AM155">
        <v>2</v>
      </c>
      <c r="AN155" t="s">
        <v>60</v>
      </c>
      <c r="AO155">
        <v>1</v>
      </c>
      <c r="AP155" t="s">
        <v>58</v>
      </c>
      <c r="AQ155">
        <v>2</v>
      </c>
      <c r="AR155" t="s">
        <v>58</v>
      </c>
      <c r="AS155">
        <v>2</v>
      </c>
      <c r="AT155" t="s">
        <v>58</v>
      </c>
      <c r="AU155">
        <v>2</v>
      </c>
      <c r="AV155">
        <f t="shared" si="2"/>
        <v>28</v>
      </c>
      <c r="AW155" t="str">
        <f>IF(Table1[[#This Row],[Pontuação final]]&lt;=2,"Nenhum", IF(Table1[[#This Row],[Pontuação final]]&lt;=12,"Leve", IF(Table1[[#This Row],[Pontuação final]]&lt;=22,"Moderado", "Grave")))</f>
        <v>Grave</v>
      </c>
    </row>
    <row r="156" spans="1:49" x14ac:dyDescent="0.3">
      <c r="A156">
        <v>156</v>
      </c>
      <c r="B156" t="s">
        <v>49</v>
      </c>
      <c r="C156" s="1">
        <v>20</v>
      </c>
      <c r="D156" s="1">
        <v>65</v>
      </c>
      <c r="E156" s="1">
        <v>1.73</v>
      </c>
      <c r="F156" t="s">
        <v>94</v>
      </c>
      <c r="G156" t="s">
        <v>51</v>
      </c>
      <c r="H156" t="s">
        <v>68</v>
      </c>
      <c r="I156" t="s">
        <v>187</v>
      </c>
      <c r="K156" t="s">
        <v>63</v>
      </c>
      <c r="L156" t="s">
        <v>55</v>
      </c>
      <c r="M156" t="s">
        <v>56</v>
      </c>
      <c r="O156" t="s">
        <v>57</v>
      </c>
      <c r="P156" t="s">
        <v>58</v>
      </c>
      <c r="Q156">
        <v>2</v>
      </c>
      <c r="R156" t="s">
        <v>58</v>
      </c>
      <c r="S156">
        <v>2</v>
      </c>
      <c r="T156" t="s">
        <v>60</v>
      </c>
      <c r="U156">
        <v>1</v>
      </c>
      <c r="V156" t="s">
        <v>58</v>
      </c>
      <c r="W156">
        <v>2</v>
      </c>
      <c r="X156" t="s">
        <v>59</v>
      </c>
      <c r="Y156">
        <v>0</v>
      </c>
      <c r="Z156" t="s">
        <v>59</v>
      </c>
      <c r="AA156">
        <v>0</v>
      </c>
      <c r="AB156" t="s">
        <v>59</v>
      </c>
      <c r="AC156">
        <v>0</v>
      </c>
      <c r="AD156" t="s">
        <v>59</v>
      </c>
      <c r="AE156">
        <v>0</v>
      </c>
      <c r="AF156" t="s">
        <v>60</v>
      </c>
      <c r="AG156">
        <v>1</v>
      </c>
      <c r="AH156" t="s">
        <v>60</v>
      </c>
      <c r="AI156">
        <v>1</v>
      </c>
      <c r="AJ156" t="s">
        <v>60</v>
      </c>
      <c r="AK156">
        <v>1</v>
      </c>
      <c r="AL156" t="s">
        <v>60</v>
      </c>
      <c r="AM156">
        <v>1</v>
      </c>
      <c r="AN156" t="s">
        <v>60</v>
      </c>
      <c r="AO156">
        <v>1</v>
      </c>
      <c r="AP156" t="s">
        <v>59</v>
      </c>
      <c r="AQ156">
        <v>0</v>
      </c>
      <c r="AR156" t="s">
        <v>59</v>
      </c>
      <c r="AS156">
        <v>0</v>
      </c>
      <c r="AT156" t="s">
        <v>58</v>
      </c>
      <c r="AU156">
        <v>2</v>
      </c>
      <c r="AV156">
        <f t="shared" si="2"/>
        <v>14</v>
      </c>
      <c r="AW156" t="str">
        <f>IF(Table1[[#This Row],[Pontuação final]]&lt;=2,"Nenhum", IF(Table1[[#This Row],[Pontuação final]]&lt;=12,"Leve", IF(Table1[[#This Row],[Pontuação final]]&lt;=22,"Moderado", "Grave")))</f>
        <v>Moderado</v>
      </c>
    </row>
    <row r="157" spans="1:49" x14ac:dyDescent="0.3">
      <c r="A157">
        <v>157</v>
      </c>
      <c r="B157" t="s">
        <v>49</v>
      </c>
      <c r="C157" s="1">
        <v>20</v>
      </c>
      <c r="D157" s="1">
        <v>72</v>
      </c>
      <c r="E157">
        <v>1.85</v>
      </c>
      <c r="F157" t="s">
        <v>61</v>
      </c>
      <c r="G157" t="s">
        <v>77</v>
      </c>
      <c r="H157" t="s">
        <v>52</v>
      </c>
      <c r="I157" t="s">
        <v>81</v>
      </c>
      <c r="K157" t="s">
        <v>208</v>
      </c>
      <c r="L157" t="s">
        <v>55</v>
      </c>
      <c r="M157" t="s">
        <v>56</v>
      </c>
      <c r="O157" t="s">
        <v>57</v>
      </c>
      <c r="P157" t="s">
        <v>60</v>
      </c>
      <c r="Q157">
        <v>1</v>
      </c>
      <c r="R157" t="s">
        <v>60</v>
      </c>
      <c r="S157">
        <v>1</v>
      </c>
      <c r="T157" t="s">
        <v>59</v>
      </c>
      <c r="U157">
        <v>0</v>
      </c>
      <c r="V157" t="s">
        <v>58</v>
      </c>
      <c r="W157">
        <v>2</v>
      </c>
      <c r="X157" t="s">
        <v>59</v>
      </c>
      <c r="Y157">
        <v>0</v>
      </c>
      <c r="Z157" t="s">
        <v>59</v>
      </c>
      <c r="AA157">
        <v>0</v>
      </c>
      <c r="AB157" t="s">
        <v>59</v>
      </c>
      <c r="AC157">
        <v>0</v>
      </c>
      <c r="AD157" t="s">
        <v>59</v>
      </c>
      <c r="AE157">
        <v>0</v>
      </c>
      <c r="AF157" t="s">
        <v>60</v>
      </c>
      <c r="AG157">
        <v>1</v>
      </c>
      <c r="AH157" t="s">
        <v>59</v>
      </c>
      <c r="AI157">
        <v>0</v>
      </c>
      <c r="AJ157" t="s">
        <v>59</v>
      </c>
      <c r="AK157">
        <v>0</v>
      </c>
      <c r="AL157" t="s">
        <v>58</v>
      </c>
      <c r="AM157">
        <v>2</v>
      </c>
      <c r="AN157" t="s">
        <v>59</v>
      </c>
      <c r="AO157">
        <v>0</v>
      </c>
      <c r="AP157" t="s">
        <v>59</v>
      </c>
      <c r="AQ157">
        <v>0</v>
      </c>
      <c r="AR157" t="s">
        <v>59</v>
      </c>
      <c r="AS157">
        <v>0</v>
      </c>
      <c r="AT157" t="s">
        <v>60</v>
      </c>
      <c r="AU157">
        <v>1</v>
      </c>
      <c r="AV157">
        <f t="shared" si="2"/>
        <v>8</v>
      </c>
      <c r="AW157" t="str">
        <f>IF(Table1[[#This Row],[Pontuação final]]&lt;=2,"Nenhum", IF(Table1[[#This Row],[Pontuação final]]&lt;=12,"Leve", IF(Table1[[#This Row],[Pontuação final]]&lt;=22,"Moderado", "Grave")))</f>
        <v>Leve</v>
      </c>
    </row>
    <row r="158" spans="1:49" x14ac:dyDescent="0.3">
      <c r="A158">
        <v>158</v>
      </c>
      <c r="B158" t="s">
        <v>49</v>
      </c>
      <c r="C158" s="1">
        <v>19</v>
      </c>
      <c r="D158" s="1">
        <v>67</v>
      </c>
      <c r="E158">
        <v>1.78</v>
      </c>
      <c r="F158" t="s">
        <v>50</v>
      </c>
      <c r="G158" t="s">
        <v>51</v>
      </c>
      <c r="H158" t="s">
        <v>68</v>
      </c>
      <c r="I158" t="s">
        <v>80</v>
      </c>
      <c r="K158" t="s">
        <v>176</v>
      </c>
      <c r="L158" t="s">
        <v>55</v>
      </c>
      <c r="M158" t="s">
        <v>56</v>
      </c>
      <c r="O158" t="s">
        <v>57</v>
      </c>
      <c r="P158" t="s">
        <v>60</v>
      </c>
      <c r="Q158">
        <v>1</v>
      </c>
      <c r="R158" t="s">
        <v>59</v>
      </c>
      <c r="S158">
        <v>0</v>
      </c>
      <c r="T158" t="s">
        <v>58</v>
      </c>
      <c r="U158">
        <v>2</v>
      </c>
      <c r="V158" t="s">
        <v>60</v>
      </c>
      <c r="W158">
        <v>1</v>
      </c>
      <c r="X158" t="s">
        <v>60</v>
      </c>
      <c r="Y158">
        <v>1</v>
      </c>
      <c r="Z158" t="s">
        <v>60</v>
      </c>
      <c r="AA158">
        <v>1</v>
      </c>
      <c r="AB158" t="s">
        <v>60</v>
      </c>
      <c r="AC158">
        <v>1</v>
      </c>
      <c r="AD158" t="s">
        <v>60</v>
      </c>
      <c r="AE158">
        <v>1</v>
      </c>
      <c r="AF158" t="s">
        <v>59</v>
      </c>
      <c r="AG158">
        <v>0</v>
      </c>
      <c r="AH158" t="s">
        <v>59</v>
      </c>
      <c r="AI158">
        <v>0</v>
      </c>
      <c r="AJ158" t="s">
        <v>59</v>
      </c>
      <c r="AK158">
        <v>0</v>
      </c>
      <c r="AL158" t="s">
        <v>60</v>
      </c>
      <c r="AM158">
        <v>1</v>
      </c>
      <c r="AN158" t="s">
        <v>59</v>
      </c>
      <c r="AO158">
        <v>0</v>
      </c>
      <c r="AP158" t="s">
        <v>59</v>
      </c>
      <c r="AQ158">
        <v>0</v>
      </c>
      <c r="AR158" t="s">
        <v>59</v>
      </c>
      <c r="AS158">
        <v>0</v>
      </c>
      <c r="AT158" t="s">
        <v>60</v>
      </c>
      <c r="AU158">
        <v>1</v>
      </c>
      <c r="AV158">
        <f t="shared" si="2"/>
        <v>10</v>
      </c>
      <c r="AW158" t="str">
        <f>IF(Table1[[#This Row],[Pontuação final]]&lt;=2,"Nenhum", IF(Table1[[#This Row],[Pontuação final]]&lt;=12,"Leve", IF(Table1[[#This Row],[Pontuação final]]&lt;=22,"Moderado", "Grave")))</f>
        <v>Leve</v>
      </c>
    </row>
    <row r="159" spans="1:49" x14ac:dyDescent="0.3">
      <c r="A159">
        <v>159</v>
      </c>
      <c r="B159" t="s">
        <v>49</v>
      </c>
      <c r="C159" s="1">
        <v>17</v>
      </c>
      <c r="D159" s="1">
        <v>67</v>
      </c>
      <c r="E159" s="1">
        <v>1.76</v>
      </c>
      <c r="F159" t="s">
        <v>111</v>
      </c>
      <c r="G159" t="s">
        <v>79</v>
      </c>
      <c r="H159" t="s">
        <v>52</v>
      </c>
      <c r="I159" t="s">
        <v>62</v>
      </c>
      <c r="K159" t="s">
        <v>54</v>
      </c>
      <c r="L159" t="s">
        <v>55</v>
      </c>
      <c r="M159" t="s">
        <v>56</v>
      </c>
      <c r="O159" t="s">
        <v>57</v>
      </c>
      <c r="P159" t="s">
        <v>58</v>
      </c>
      <c r="Q159">
        <v>2</v>
      </c>
      <c r="R159" t="s">
        <v>60</v>
      </c>
      <c r="S159">
        <v>1</v>
      </c>
      <c r="T159" t="s">
        <v>60</v>
      </c>
      <c r="U159">
        <v>1</v>
      </c>
      <c r="V159" t="s">
        <v>58</v>
      </c>
      <c r="W159">
        <v>2</v>
      </c>
      <c r="X159" t="s">
        <v>59</v>
      </c>
      <c r="Y159">
        <v>0</v>
      </c>
      <c r="Z159" t="s">
        <v>59</v>
      </c>
      <c r="AA159">
        <v>0</v>
      </c>
      <c r="AB159" t="s">
        <v>59</v>
      </c>
      <c r="AC159">
        <v>0</v>
      </c>
      <c r="AD159" t="s">
        <v>59</v>
      </c>
      <c r="AE159">
        <v>0</v>
      </c>
      <c r="AF159" t="s">
        <v>59</v>
      </c>
      <c r="AG159">
        <v>0</v>
      </c>
      <c r="AH159" t="s">
        <v>59</v>
      </c>
      <c r="AI159">
        <v>0</v>
      </c>
      <c r="AJ159" t="s">
        <v>59</v>
      </c>
      <c r="AK159">
        <v>0</v>
      </c>
      <c r="AL159" t="s">
        <v>60</v>
      </c>
      <c r="AM159">
        <v>1</v>
      </c>
      <c r="AN159" t="s">
        <v>59</v>
      </c>
      <c r="AO159">
        <v>0</v>
      </c>
      <c r="AP159" t="s">
        <v>59</v>
      </c>
      <c r="AQ159">
        <v>0</v>
      </c>
      <c r="AR159" t="s">
        <v>59</v>
      </c>
      <c r="AS159">
        <v>0</v>
      </c>
      <c r="AT159" t="s">
        <v>58</v>
      </c>
      <c r="AU159">
        <v>2</v>
      </c>
      <c r="AV159">
        <f t="shared" si="2"/>
        <v>9</v>
      </c>
      <c r="AW159" t="str">
        <f>IF(Table1[[#This Row],[Pontuação final]]&lt;=2,"Nenhum", IF(Table1[[#This Row],[Pontuação final]]&lt;=12,"Leve", IF(Table1[[#This Row],[Pontuação final]]&lt;=22,"Moderado", "Grave")))</f>
        <v>Leve</v>
      </c>
    </row>
    <row r="160" spans="1:49" x14ac:dyDescent="0.3">
      <c r="A160">
        <v>160</v>
      </c>
      <c r="B160" t="s">
        <v>49</v>
      </c>
      <c r="C160" s="1">
        <v>22</v>
      </c>
      <c r="D160" s="1">
        <v>50</v>
      </c>
      <c r="E160">
        <v>1.63</v>
      </c>
      <c r="F160" t="s">
        <v>61</v>
      </c>
      <c r="G160" t="s">
        <v>67</v>
      </c>
      <c r="H160" t="s">
        <v>52</v>
      </c>
      <c r="I160" t="s">
        <v>81</v>
      </c>
      <c r="K160" t="s">
        <v>113</v>
      </c>
      <c r="L160" t="s">
        <v>55</v>
      </c>
      <c r="M160" t="s">
        <v>56</v>
      </c>
      <c r="O160" t="s">
        <v>82</v>
      </c>
      <c r="P160" t="s">
        <v>59</v>
      </c>
      <c r="Q160">
        <v>0</v>
      </c>
      <c r="R160" t="s">
        <v>60</v>
      </c>
      <c r="S160">
        <v>1</v>
      </c>
      <c r="T160" t="s">
        <v>60</v>
      </c>
      <c r="U160">
        <v>1</v>
      </c>
      <c r="V160" t="s">
        <v>58</v>
      </c>
      <c r="W160">
        <v>2</v>
      </c>
      <c r="X160" t="s">
        <v>59</v>
      </c>
      <c r="Y160">
        <v>0</v>
      </c>
      <c r="Z160" t="s">
        <v>59</v>
      </c>
      <c r="AA160">
        <v>0</v>
      </c>
      <c r="AB160" t="s">
        <v>59</v>
      </c>
      <c r="AC160">
        <v>0</v>
      </c>
      <c r="AD160" t="s">
        <v>59</v>
      </c>
      <c r="AE160">
        <v>0</v>
      </c>
      <c r="AF160" t="s">
        <v>59</v>
      </c>
      <c r="AG160">
        <v>0</v>
      </c>
      <c r="AH160" t="s">
        <v>58</v>
      </c>
      <c r="AI160">
        <v>2</v>
      </c>
      <c r="AJ160" t="s">
        <v>58</v>
      </c>
      <c r="AK160">
        <v>2</v>
      </c>
      <c r="AL160" t="s">
        <v>59</v>
      </c>
      <c r="AM160">
        <v>0</v>
      </c>
      <c r="AN160" t="s">
        <v>59</v>
      </c>
      <c r="AO160">
        <v>0</v>
      </c>
      <c r="AP160" t="s">
        <v>59</v>
      </c>
      <c r="AQ160">
        <v>0</v>
      </c>
      <c r="AR160" t="s">
        <v>59</v>
      </c>
      <c r="AS160">
        <v>0</v>
      </c>
      <c r="AT160" t="s">
        <v>60</v>
      </c>
      <c r="AU160">
        <v>1</v>
      </c>
      <c r="AV160">
        <f t="shared" si="2"/>
        <v>9</v>
      </c>
      <c r="AW160" t="str">
        <f>IF(Table1[[#This Row],[Pontuação final]]&lt;=2,"Nenhum", IF(Table1[[#This Row],[Pontuação final]]&lt;=12,"Leve", IF(Table1[[#This Row],[Pontuação final]]&lt;=22,"Moderado", "Grave")))</f>
        <v>Leve</v>
      </c>
    </row>
    <row r="161" spans="1:49" x14ac:dyDescent="0.3">
      <c r="A161">
        <v>161</v>
      </c>
      <c r="B161" t="s">
        <v>49</v>
      </c>
      <c r="C161" s="1">
        <v>20</v>
      </c>
      <c r="D161" s="1">
        <v>77</v>
      </c>
      <c r="E161">
        <v>1.81</v>
      </c>
      <c r="F161" t="s">
        <v>94</v>
      </c>
      <c r="G161" t="s">
        <v>90</v>
      </c>
      <c r="H161" t="s">
        <v>52</v>
      </c>
      <c r="I161" t="s">
        <v>209</v>
      </c>
      <c r="K161" t="s">
        <v>210</v>
      </c>
      <c r="L161" t="s">
        <v>55</v>
      </c>
      <c r="M161" t="s">
        <v>56</v>
      </c>
      <c r="O161" t="s">
        <v>82</v>
      </c>
      <c r="P161" t="s">
        <v>60</v>
      </c>
      <c r="Q161">
        <v>1</v>
      </c>
      <c r="R161" t="s">
        <v>60</v>
      </c>
      <c r="S161">
        <v>1</v>
      </c>
      <c r="T161" t="s">
        <v>58</v>
      </c>
      <c r="U161">
        <v>2</v>
      </c>
      <c r="V161" t="s">
        <v>58</v>
      </c>
      <c r="W161">
        <v>2</v>
      </c>
      <c r="X161" t="s">
        <v>60</v>
      </c>
      <c r="Y161">
        <v>1</v>
      </c>
      <c r="Z161" t="s">
        <v>59</v>
      </c>
      <c r="AA161">
        <v>0</v>
      </c>
      <c r="AB161" t="s">
        <v>59</v>
      </c>
      <c r="AC161">
        <v>0</v>
      </c>
      <c r="AD161" t="s">
        <v>59</v>
      </c>
      <c r="AE161">
        <v>0</v>
      </c>
      <c r="AF161" t="s">
        <v>60</v>
      </c>
      <c r="AG161">
        <v>1</v>
      </c>
      <c r="AH161" t="s">
        <v>59</v>
      </c>
      <c r="AI161">
        <v>0</v>
      </c>
      <c r="AJ161" t="s">
        <v>59</v>
      </c>
      <c r="AK161">
        <v>0</v>
      </c>
      <c r="AL161" t="s">
        <v>59</v>
      </c>
      <c r="AM161">
        <v>0</v>
      </c>
      <c r="AN161" t="s">
        <v>59</v>
      </c>
      <c r="AO161">
        <v>0</v>
      </c>
      <c r="AP161" t="s">
        <v>59</v>
      </c>
      <c r="AQ161">
        <v>0</v>
      </c>
      <c r="AR161" t="s">
        <v>59</v>
      </c>
      <c r="AS161">
        <v>0</v>
      </c>
      <c r="AT161" t="s">
        <v>60</v>
      </c>
      <c r="AU161">
        <v>1</v>
      </c>
      <c r="AV161">
        <f t="shared" si="2"/>
        <v>9</v>
      </c>
      <c r="AW161" t="str">
        <f>IF(Table1[[#This Row],[Pontuação final]]&lt;=2,"Nenhum", IF(Table1[[#This Row],[Pontuação final]]&lt;=12,"Leve", IF(Table1[[#This Row],[Pontuação final]]&lt;=22,"Moderado", "Grave")))</f>
        <v>Leve</v>
      </c>
    </row>
    <row r="162" spans="1:49" x14ac:dyDescent="0.3">
      <c r="A162">
        <v>162</v>
      </c>
      <c r="B162" t="s">
        <v>49</v>
      </c>
      <c r="C162" s="1">
        <v>21</v>
      </c>
      <c r="D162" s="1">
        <v>80</v>
      </c>
      <c r="E162" s="1">
        <v>1.65</v>
      </c>
      <c r="F162" t="s">
        <v>61</v>
      </c>
      <c r="G162" t="s">
        <v>67</v>
      </c>
      <c r="H162" t="s">
        <v>68</v>
      </c>
      <c r="I162" t="s">
        <v>72</v>
      </c>
      <c r="K162" t="s">
        <v>70</v>
      </c>
      <c r="L162" t="s">
        <v>55</v>
      </c>
      <c r="M162" t="s">
        <v>64</v>
      </c>
      <c r="O162" t="s">
        <v>82</v>
      </c>
      <c r="P162" t="s">
        <v>58</v>
      </c>
      <c r="Q162">
        <v>2</v>
      </c>
      <c r="R162" t="s">
        <v>60</v>
      </c>
      <c r="S162">
        <v>1</v>
      </c>
      <c r="T162" t="s">
        <v>59</v>
      </c>
      <c r="U162">
        <v>0</v>
      </c>
      <c r="V162" t="s">
        <v>58</v>
      </c>
      <c r="W162">
        <v>2</v>
      </c>
      <c r="X162" t="s">
        <v>59</v>
      </c>
      <c r="Y162">
        <v>0</v>
      </c>
      <c r="Z162" t="s">
        <v>59</v>
      </c>
      <c r="AA162">
        <v>0</v>
      </c>
      <c r="AB162" t="s">
        <v>59</v>
      </c>
      <c r="AC162">
        <v>0</v>
      </c>
      <c r="AD162" t="s">
        <v>59</v>
      </c>
      <c r="AE162">
        <v>0</v>
      </c>
      <c r="AF162" t="s">
        <v>58</v>
      </c>
      <c r="AG162">
        <v>2</v>
      </c>
      <c r="AH162" t="s">
        <v>58</v>
      </c>
      <c r="AI162">
        <v>2</v>
      </c>
      <c r="AJ162" t="s">
        <v>60</v>
      </c>
      <c r="AK162">
        <v>1</v>
      </c>
      <c r="AL162" t="s">
        <v>60</v>
      </c>
      <c r="AM162">
        <v>1</v>
      </c>
      <c r="AN162" t="s">
        <v>60</v>
      </c>
      <c r="AO162">
        <v>1</v>
      </c>
      <c r="AP162" t="s">
        <v>59</v>
      </c>
      <c r="AQ162">
        <v>0</v>
      </c>
      <c r="AR162" t="s">
        <v>59</v>
      </c>
      <c r="AS162">
        <v>0</v>
      </c>
      <c r="AT162" t="s">
        <v>60</v>
      </c>
      <c r="AU162">
        <v>1</v>
      </c>
      <c r="AV162">
        <f t="shared" si="2"/>
        <v>13</v>
      </c>
      <c r="AW162" t="str">
        <f>IF(Table1[[#This Row],[Pontuação final]]&lt;=2,"Nenhum", IF(Table1[[#This Row],[Pontuação final]]&lt;=12,"Leve", IF(Table1[[#This Row],[Pontuação final]]&lt;=22,"Moderado", "Grave")))</f>
        <v>Moderado</v>
      </c>
    </row>
    <row r="163" spans="1:49" x14ac:dyDescent="0.3">
      <c r="A163">
        <v>163</v>
      </c>
      <c r="B163" t="s">
        <v>49</v>
      </c>
      <c r="C163" s="1">
        <v>23</v>
      </c>
      <c r="D163" s="1">
        <v>98</v>
      </c>
      <c r="E163">
        <v>1.9</v>
      </c>
      <c r="F163" t="s">
        <v>61</v>
      </c>
      <c r="G163" t="s">
        <v>71</v>
      </c>
      <c r="H163" t="s">
        <v>68</v>
      </c>
      <c r="I163" t="s">
        <v>97</v>
      </c>
      <c r="K163" t="s">
        <v>124</v>
      </c>
      <c r="L163" t="s">
        <v>109</v>
      </c>
      <c r="M163" t="s">
        <v>64</v>
      </c>
      <c r="O163" t="s">
        <v>82</v>
      </c>
      <c r="P163" t="s">
        <v>60</v>
      </c>
      <c r="Q163">
        <v>1</v>
      </c>
      <c r="R163" t="s">
        <v>58</v>
      </c>
      <c r="S163">
        <v>2</v>
      </c>
      <c r="T163" t="s">
        <v>58</v>
      </c>
      <c r="U163">
        <v>2</v>
      </c>
      <c r="V163" t="s">
        <v>60</v>
      </c>
      <c r="W163">
        <v>1</v>
      </c>
      <c r="X163" t="s">
        <v>59</v>
      </c>
      <c r="Y163">
        <v>0</v>
      </c>
      <c r="Z163" t="s">
        <v>59</v>
      </c>
      <c r="AA163">
        <v>0</v>
      </c>
      <c r="AB163" t="s">
        <v>59</v>
      </c>
      <c r="AC163">
        <v>0</v>
      </c>
      <c r="AD163" t="s">
        <v>59</v>
      </c>
      <c r="AE163">
        <v>0</v>
      </c>
      <c r="AF163" t="s">
        <v>58</v>
      </c>
      <c r="AG163">
        <v>2</v>
      </c>
      <c r="AH163" t="s">
        <v>60</v>
      </c>
      <c r="AI163">
        <v>1</v>
      </c>
      <c r="AJ163" t="s">
        <v>58</v>
      </c>
      <c r="AK163">
        <v>2</v>
      </c>
      <c r="AL163" t="s">
        <v>60</v>
      </c>
      <c r="AM163">
        <v>1</v>
      </c>
      <c r="AN163" t="s">
        <v>59</v>
      </c>
      <c r="AO163">
        <v>0</v>
      </c>
      <c r="AP163" t="s">
        <v>59</v>
      </c>
      <c r="AQ163">
        <v>0</v>
      </c>
      <c r="AR163" t="s">
        <v>59</v>
      </c>
      <c r="AS163">
        <v>0</v>
      </c>
      <c r="AT163" t="s">
        <v>60</v>
      </c>
      <c r="AU163">
        <v>1</v>
      </c>
      <c r="AV163">
        <f t="shared" si="2"/>
        <v>13</v>
      </c>
      <c r="AW163" t="str">
        <f>IF(Table1[[#This Row],[Pontuação final]]&lt;=2,"Nenhum", IF(Table1[[#This Row],[Pontuação final]]&lt;=12,"Leve", IF(Table1[[#This Row],[Pontuação final]]&lt;=22,"Moderado", "Grave")))</f>
        <v>Moderado</v>
      </c>
    </row>
    <row r="164" spans="1:49" x14ac:dyDescent="0.3">
      <c r="A164">
        <v>164</v>
      </c>
      <c r="B164" t="s">
        <v>66</v>
      </c>
      <c r="C164" s="1">
        <v>17</v>
      </c>
      <c r="D164" s="1">
        <v>53</v>
      </c>
      <c r="E164">
        <v>1.62</v>
      </c>
      <c r="F164" t="s">
        <v>61</v>
      </c>
      <c r="G164" t="s">
        <v>79</v>
      </c>
      <c r="H164" t="s">
        <v>52</v>
      </c>
      <c r="I164" t="s">
        <v>62</v>
      </c>
      <c r="K164" t="s">
        <v>70</v>
      </c>
      <c r="L164" t="s">
        <v>55</v>
      </c>
      <c r="M164" t="s">
        <v>64</v>
      </c>
      <c r="O164" t="s">
        <v>65</v>
      </c>
      <c r="P164" t="s">
        <v>58</v>
      </c>
      <c r="Q164">
        <v>2</v>
      </c>
      <c r="R164" t="s">
        <v>58</v>
      </c>
      <c r="S164">
        <v>2</v>
      </c>
      <c r="T164" t="s">
        <v>60</v>
      </c>
      <c r="U164">
        <v>1</v>
      </c>
      <c r="V164" t="s">
        <v>58</v>
      </c>
      <c r="W164">
        <v>2</v>
      </c>
      <c r="X164" t="s">
        <v>60</v>
      </c>
      <c r="Y164">
        <v>1</v>
      </c>
      <c r="Z164" t="s">
        <v>60</v>
      </c>
      <c r="AA164">
        <v>1</v>
      </c>
      <c r="AB164" t="s">
        <v>60</v>
      </c>
      <c r="AC164">
        <v>1</v>
      </c>
      <c r="AD164" t="s">
        <v>60</v>
      </c>
      <c r="AE164">
        <v>1</v>
      </c>
      <c r="AF164" t="s">
        <v>58</v>
      </c>
      <c r="AG164">
        <v>2</v>
      </c>
      <c r="AH164" t="s">
        <v>60</v>
      </c>
      <c r="AI164">
        <v>1</v>
      </c>
      <c r="AJ164" t="s">
        <v>59</v>
      </c>
      <c r="AK164">
        <v>0</v>
      </c>
      <c r="AL164" t="s">
        <v>60</v>
      </c>
      <c r="AM164">
        <v>1</v>
      </c>
      <c r="AN164" t="s">
        <v>60</v>
      </c>
      <c r="AO164">
        <v>1</v>
      </c>
      <c r="AP164" t="s">
        <v>60</v>
      </c>
      <c r="AQ164">
        <v>1</v>
      </c>
      <c r="AR164" t="s">
        <v>59</v>
      </c>
      <c r="AS164">
        <v>0</v>
      </c>
      <c r="AT164" t="s">
        <v>58</v>
      </c>
      <c r="AU164">
        <v>2</v>
      </c>
      <c r="AV164">
        <f t="shared" si="2"/>
        <v>19</v>
      </c>
      <c r="AW164" t="str">
        <f>IF(Table1[[#This Row],[Pontuação final]]&lt;=2,"Nenhum", IF(Table1[[#This Row],[Pontuação final]]&lt;=12,"Leve", IF(Table1[[#This Row],[Pontuação final]]&lt;=22,"Moderado", "Grave")))</f>
        <v>Moderado</v>
      </c>
    </row>
    <row r="165" spans="1:49" x14ac:dyDescent="0.3">
      <c r="A165">
        <v>165</v>
      </c>
      <c r="B165" t="s">
        <v>66</v>
      </c>
      <c r="C165" s="1">
        <v>18</v>
      </c>
      <c r="D165" s="1">
        <v>50</v>
      </c>
      <c r="E165" s="1">
        <v>1.62</v>
      </c>
      <c r="F165" t="s">
        <v>119</v>
      </c>
      <c r="G165" t="s">
        <v>79</v>
      </c>
      <c r="H165" t="s">
        <v>52</v>
      </c>
      <c r="I165" t="s">
        <v>62</v>
      </c>
      <c r="K165" t="s">
        <v>70</v>
      </c>
      <c r="L165" t="s">
        <v>55</v>
      </c>
      <c r="M165" t="s">
        <v>64</v>
      </c>
      <c r="O165" t="s">
        <v>57</v>
      </c>
      <c r="P165" t="s">
        <v>60</v>
      </c>
      <c r="Q165">
        <v>1</v>
      </c>
      <c r="R165" t="s">
        <v>60</v>
      </c>
      <c r="S165">
        <v>1</v>
      </c>
      <c r="T165" t="s">
        <v>59</v>
      </c>
      <c r="U165">
        <v>0</v>
      </c>
      <c r="V165" t="s">
        <v>58</v>
      </c>
      <c r="W165">
        <v>2</v>
      </c>
      <c r="X165" t="s">
        <v>60</v>
      </c>
      <c r="Y165">
        <v>1</v>
      </c>
      <c r="Z165" t="s">
        <v>59</v>
      </c>
      <c r="AA165">
        <v>0</v>
      </c>
      <c r="AB165" t="s">
        <v>60</v>
      </c>
      <c r="AC165">
        <v>1</v>
      </c>
      <c r="AD165" t="s">
        <v>60</v>
      </c>
      <c r="AE165">
        <v>1</v>
      </c>
      <c r="AF165" t="s">
        <v>60</v>
      </c>
      <c r="AG165">
        <v>1</v>
      </c>
      <c r="AH165" t="s">
        <v>60</v>
      </c>
      <c r="AI165">
        <v>1</v>
      </c>
      <c r="AJ165" t="s">
        <v>59</v>
      </c>
      <c r="AK165">
        <v>0</v>
      </c>
      <c r="AL165" t="s">
        <v>58</v>
      </c>
      <c r="AM165">
        <v>2</v>
      </c>
      <c r="AN165" t="s">
        <v>60</v>
      </c>
      <c r="AO165">
        <v>1</v>
      </c>
      <c r="AP165" t="s">
        <v>59</v>
      </c>
      <c r="AQ165">
        <v>0</v>
      </c>
      <c r="AR165" t="s">
        <v>60</v>
      </c>
      <c r="AS165">
        <v>1</v>
      </c>
      <c r="AT165" t="s">
        <v>58</v>
      </c>
      <c r="AU165">
        <v>2</v>
      </c>
      <c r="AV165">
        <f t="shared" si="2"/>
        <v>15</v>
      </c>
      <c r="AW165" t="str">
        <f>IF(Table1[[#This Row],[Pontuação final]]&lt;=2,"Nenhum", IF(Table1[[#This Row],[Pontuação final]]&lt;=12,"Leve", IF(Table1[[#This Row],[Pontuação final]]&lt;=22,"Moderado", "Grave")))</f>
        <v>Moderado</v>
      </c>
    </row>
    <row r="166" spans="1:49" x14ac:dyDescent="0.3">
      <c r="A166">
        <v>166</v>
      </c>
      <c r="B166" t="s">
        <v>66</v>
      </c>
      <c r="C166" s="1">
        <v>22</v>
      </c>
      <c r="D166" s="1">
        <v>52</v>
      </c>
      <c r="E166" s="1">
        <v>1.58</v>
      </c>
      <c r="F166" t="s">
        <v>119</v>
      </c>
      <c r="G166" t="s">
        <v>71</v>
      </c>
      <c r="H166" t="s">
        <v>52</v>
      </c>
      <c r="I166" t="s">
        <v>80</v>
      </c>
      <c r="K166" t="s">
        <v>211</v>
      </c>
      <c r="L166" t="s">
        <v>55</v>
      </c>
      <c r="M166" t="s">
        <v>56</v>
      </c>
      <c r="O166" t="s">
        <v>65</v>
      </c>
      <c r="P166" t="s">
        <v>58</v>
      </c>
      <c r="Q166">
        <v>2</v>
      </c>
      <c r="R166" t="s">
        <v>59</v>
      </c>
      <c r="S166">
        <v>0</v>
      </c>
      <c r="T166" t="s">
        <v>59</v>
      </c>
      <c r="U166">
        <v>0</v>
      </c>
      <c r="V166" t="s">
        <v>58</v>
      </c>
      <c r="W166">
        <v>2</v>
      </c>
      <c r="X166" t="s">
        <v>59</v>
      </c>
      <c r="Y166">
        <v>0</v>
      </c>
      <c r="Z166" t="s">
        <v>59</v>
      </c>
      <c r="AA166">
        <v>0</v>
      </c>
      <c r="AB166" t="s">
        <v>59</v>
      </c>
      <c r="AC166">
        <v>0</v>
      </c>
      <c r="AD166" t="s">
        <v>60</v>
      </c>
      <c r="AE166">
        <v>1</v>
      </c>
      <c r="AF166" t="s">
        <v>60</v>
      </c>
      <c r="AG166">
        <v>1</v>
      </c>
      <c r="AH166" t="s">
        <v>58</v>
      </c>
      <c r="AI166">
        <v>2</v>
      </c>
      <c r="AJ166" t="s">
        <v>59</v>
      </c>
      <c r="AK166">
        <v>0</v>
      </c>
      <c r="AL166" t="s">
        <v>58</v>
      </c>
      <c r="AM166">
        <v>2</v>
      </c>
      <c r="AN166" t="s">
        <v>60</v>
      </c>
      <c r="AO166">
        <v>1</v>
      </c>
      <c r="AP166" t="s">
        <v>60</v>
      </c>
      <c r="AQ166">
        <v>1</v>
      </c>
      <c r="AR166" t="s">
        <v>59</v>
      </c>
      <c r="AS166">
        <v>0</v>
      </c>
      <c r="AT166" t="s">
        <v>58</v>
      </c>
      <c r="AU166">
        <v>2</v>
      </c>
      <c r="AV166">
        <f t="shared" si="2"/>
        <v>14</v>
      </c>
      <c r="AW166" t="str">
        <f>IF(Table1[[#This Row],[Pontuação final]]&lt;=2,"Nenhum", IF(Table1[[#This Row],[Pontuação final]]&lt;=12,"Leve", IF(Table1[[#This Row],[Pontuação final]]&lt;=22,"Moderado", "Grave")))</f>
        <v>Moderado</v>
      </c>
    </row>
    <row r="167" spans="1:49" x14ac:dyDescent="0.3">
      <c r="A167">
        <v>167</v>
      </c>
      <c r="B167" t="s">
        <v>49</v>
      </c>
      <c r="C167" s="1">
        <v>21</v>
      </c>
      <c r="D167" s="1">
        <v>72</v>
      </c>
      <c r="E167" s="1">
        <v>1.74</v>
      </c>
      <c r="F167" t="s">
        <v>50</v>
      </c>
      <c r="G167" t="s">
        <v>90</v>
      </c>
      <c r="H167" t="s">
        <v>52</v>
      </c>
      <c r="I167" t="s">
        <v>80</v>
      </c>
      <c r="K167" t="s">
        <v>70</v>
      </c>
      <c r="L167" t="s">
        <v>55</v>
      </c>
      <c r="M167" t="s">
        <v>64</v>
      </c>
      <c r="O167" t="s">
        <v>57</v>
      </c>
      <c r="P167" t="s">
        <v>58</v>
      </c>
      <c r="Q167">
        <v>2</v>
      </c>
      <c r="R167" t="s">
        <v>59</v>
      </c>
      <c r="S167">
        <v>0</v>
      </c>
      <c r="T167" t="s">
        <v>59</v>
      </c>
      <c r="U167">
        <v>0</v>
      </c>
      <c r="V167" t="s">
        <v>58</v>
      </c>
      <c r="W167">
        <v>2</v>
      </c>
      <c r="X167" t="s">
        <v>60</v>
      </c>
      <c r="Y167">
        <v>1</v>
      </c>
      <c r="Z167" t="s">
        <v>60</v>
      </c>
      <c r="AA167">
        <v>1</v>
      </c>
      <c r="AB167" t="s">
        <v>58</v>
      </c>
      <c r="AC167">
        <v>2</v>
      </c>
      <c r="AD167" t="s">
        <v>58</v>
      </c>
      <c r="AE167">
        <v>2</v>
      </c>
      <c r="AF167" t="s">
        <v>60</v>
      </c>
      <c r="AG167">
        <v>1</v>
      </c>
      <c r="AH167" t="s">
        <v>58</v>
      </c>
      <c r="AI167">
        <v>2</v>
      </c>
      <c r="AJ167" t="s">
        <v>58</v>
      </c>
      <c r="AK167">
        <v>2</v>
      </c>
      <c r="AL167" t="s">
        <v>60</v>
      </c>
      <c r="AM167">
        <v>1</v>
      </c>
      <c r="AN167" t="s">
        <v>58</v>
      </c>
      <c r="AO167">
        <v>2</v>
      </c>
      <c r="AP167" t="s">
        <v>60</v>
      </c>
      <c r="AQ167">
        <v>1</v>
      </c>
      <c r="AR167" t="s">
        <v>60</v>
      </c>
      <c r="AS167">
        <v>1</v>
      </c>
      <c r="AT167" t="s">
        <v>58</v>
      </c>
      <c r="AU167">
        <v>2</v>
      </c>
      <c r="AV167">
        <f t="shared" si="2"/>
        <v>22</v>
      </c>
      <c r="AW167" t="str">
        <f>IF(Table1[[#This Row],[Pontuação final]]&lt;=2,"Nenhum", IF(Table1[[#This Row],[Pontuação final]]&lt;=12,"Leve", IF(Table1[[#This Row],[Pontuação final]]&lt;=22,"Moderado", "Grave")))</f>
        <v>Moderado</v>
      </c>
    </row>
    <row r="168" spans="1:49" x14ac:dyDescent="0.3">
      <c r="A168">
        <v>168</v>
      </c>
      <c r="B168" t="s">
        <v>49</v>
      </c>
      <c r="C168" s="1">
        <v>18</v>
      </c>
      <c r="D168" s="1">
        <v>51</v>
      </c>
      <c r="E168" s="1">
        <v>1.68</v>
      </c>
      <c r="F168" t="s">
        <v>94</v>
      </c>
      <c r="G168" t="s">
        <v>79</v>
      </c>
      <c r="H168" t="s">
        <v>68</v>
      </c>
      <c r="I168" t="s">
        <v>62</v>
      </c>
      <c r="K168" t="s">
        <v>212</v>
      </c>
      <c r="L168" t="s">
        <v>74</v>
      </c>
      <c r="M168" t="s">
        <v>64</v>
      </c>
      <c r="O168" t="s">
        <v>82</v>
      </c>
      <c r="P168" t="s">
        <v>58</v>
      </c>
      <c r="Q168">
        <v>2</v>
      </c>
      <c r="R168" t="s">
        <v>59</v>
      </c>
      <c r="S168">
        <v>0</v>
      </c>
      <c r="T168" t="s">
        <v>59</v>
      </c>
      <c r="U168">
        <v>0</v>
      </c>
      <c r="V168" t="s">
        <v>58</v>
      </c>
      <c r="W168">
        <v>2</v>
      </c>
      <c r="X168" t="s">
        <v>59</v>
      </c>
      <c r="Y168">
        <v>0</v>
      </c>
      <c r="Z168" t="s">
        <v>59</v>
      </c>
      <c r="AA168">
        <v>0</v>
      </c>
      <c r="AB168" t="s">
        <v>59</v>
      </c>
      <c r="AC168">
        <v>0</v>
      </c>
      <c r="AD168" t="s">
        <v>60</v>
      </c>
      <c r="AE168">
        <v>1</v>
      </c>
      <c r="AF168" t="s">
        <v>58</v>
      </c>
      <c r="AG168">
        <v>2</v>
      </c>
      <c r="AH168" t="s">
        <v>58</v>
      </c>
      <c r="AI168">
        <v>2</v>
      </c>
      <c r="AJ168" t="s">
        <v>58</v>
      </c>
      <c r="AK168">
        <v>2</v>
      </c>
      <c r="AL168" t="s">
        <v>58</v>
      </c>
      <c r="AM168">
        <v>2</v>
      </c>
      <c r="AN168" t="s">
        <v>59</v>
      </c>
      <c r="AO168">
        <v>0</v>
      </c>
      <c r="AP168" t="s">
        <v>59</v>
      </c>
      <c r="AQ168">
        <v>0</v>
      </c>
      <c r="AR168" t="s">
        <v>59</v>
      </c>
      <c r="AS168">
        <v>0</v>
      </c>
      <c r="AT168" t="s">
        <v>58</v>
      </c>
      <c r="AU168">
        <v>2</v>
      </c>
      <c r="AV168">
        <f t="shared" si="2"/>
        <v>15</v>
      </c>
      <c r="AW168" t="str">
        <f>IF(Table1[[#This Row],[Pontuação final]]&lt;=2,"Nenhum", IF(Table1[[#This Row],[Pontuação final]]&lt;=12,"Leve", IF(Table1[[#This Row],[Pontuação final]]&lt;=22,"Moderado", "Grave")))</f>
        <v>Moderado</v>
      </c>
    </row>
    <row r="169" spans="1:49" x14ac:dyDescent="0.3">
      <c r="A169">
        <v>169</v>
      </c>
      <c r="B169" t="s">
        <v>66</v>
      </c>
      <c r="C169" s="1">
        <v>21</v>
      </c>
      <c r="D169">
        <v>65.5</v>
      </c>
      <c r="E169" s="1">
        <v>1.61</v>
      </c>
      <c r="F169" t="s">
        <v>50</v>
      </c>
      <c r="G169" t="s">
        <v>90</v>
      </c>
      <c r="H169" t="s">
        <v>52</v>
      </c>
      <c r="I169" t="s">
        <v>53</v>
      </c>
      <c r="K169" t="s">
        <v>74</v>
      </c>
      <c r="L169" t="s">
        <v>74</v>
      </c>
      <c r="M169" t="s">
        <v>64</v>
      </c>
      <c r="O169" t="s">
        <v>65</v>
      </c>
      <c r="P169" t="s">
        <v>58</v>
      </c>
      <c r="Q169">
        <v>2</v>
      </c>
      <c r="R169" t="s">
        <v>58</v>
      </c>
      <c r="S169">
        <v>2</v>
      </c>
      <c r="T169" t="s">
        <v>59</v>
      </c>
      <c r="U169">
        <v>0</v>
      </c>
      <c r="V169" t="s">
        <v>58</v>
      </c>
      <c r="W169">
        <v>2</v>
      </c>
      <c r="X169" t="s">
        <v>60</v>
      </c>
      <c r="Y169">
        <v>1</v>
      </c>
      <c r="Z169" t="s">
        <v>59</v>
      </c>
      <c r="AA169">
        <v>0</v>
      </c>
      <c r="AB169" t="s">
        <v>60</v>
      </c>
      <c r="AC169">
        <v>1</v>
      </c>
      <c r="AD169" t="s">
        <v>58</v>
      </c>
      <c r="AE169">
        <v>2</v>
      </c>
      <c r="AF169" t="s">
        <v>60</v>
      </c>
      <c r="AG169">
        <v>1</v>
      </c>
      <c r="AH169" t="s">
        <v>58</v>
      </c>
      <c r="AI169">
        <v>2</v>
      </c>
      <c r="AJ169" t="s">
        <v>58</v>
      </c>
      <c r="AK169">
        <v>2</v>
      </c>
      <c r="AL169" t="s">
        <v>58</v>
      </c>
      <c r="AM169">
        <v>2</v>
      </c>
      <c r="AN169" t="s">
        <v>60</v>
      </c>
      <c r="AO169">
        <v>1</v>
      </c>
      <c r="AP169" t="s">
        <v>60</v>
      </c>
      <c r="AQ169">
        <v>1</v>
      </c>
      <c r="AR169" t="s">
        <v>59</v>
      </c>
      <c r="AS169">
        <v>0</v>
      </c>
      <c r="AT169" t="s">
        <v>58</v>
      </c>
      <c r="AU169">
        <v>2</v>
      </c>
      <c r="AV169">
        <f t="shared" si="2"/>
        <v>21</v>
      </c>
      <c r="AW169" t="str">
        <f>IF(Table1[[#This Row],[Pontuação final]]&lt;=2,"Nenhum", IF(Table1[[#This Row],[Pontuação final]]&lt;=12,"Leve", IF(Table1[[#This Row],[Pontuação final]]&lt;=22,"Moderado", "Grave")))</f>
        <v>Moderado</v>
      </c>
    </row>
    <row r="170" spans="1:49" x14ac:dyDescent="0.3">
      <c r="A170">
        <v>170</v>
      </c>
      <c r="B170" t="s">
        <v>49</v>
      </c>
      <c r="C170" s="1">
        <v>23</v>
      </c>
      <c r="D170" s="1">
        <v>83</v>
      </c>
      <c r="E170" s="1">
        <v>1.84</v>
      </c>
      <c r="F170" t="s">
        <v>61</v>
      </c>
      <c r="G170" t="s">
        <v>105</v>
      </c>
      <c r="H170" t="s">
        <v>68</v>
      </c>
      <c r="I170" t="s">
        <v>72</v>
      </c>
      <c r="K170" t="s">
        <v>70</v>
      </c>
      <c r="L170" t="s">
        <v>55</v>
      </c>
      <c r="M170" t="s">
        <v>75</v>
      </c>
      <c r="O170" t="s">
        <v>57</v>
      </c>
      <c r="P170" t="s">
        <v>58</v>
      </c>
      <c r="Q170">
        <v>2</v>
      </c>
      <c r="R170" t="s">
        <v>59</v>
      </c>
      <c r="S170">
        <v>0</v>
      </c>
      <c r="T170" t="s">
        <v>59</v>
      </c>
      <c r="U170">
        <v>0</v>
      </c>
      <c r="V170" t="s">
        <v>58</v>
      </c>
      <c r="W170">
        <v>2</v>
      </c>
      <c r="X170" t="s">
        <v>60</v>
      </c>
      <c r="Y170">
        <v>1</v>
      </c>
      <c r="Z170" t="s">
        <v>60</v>
      </c>
      <c r="AA170">
        <v>1</v>
      </c>
      <c r="AB170" t="s">
        <v>60</v>
      </c>
      <c r="AC170">
        <v>1</v>
      </c>
      <c r="AD170" t="s">
        <v>60</v>
      </c>
      <c r="AE170">
        <v>1</v>
      </c>
      <c r="AF170" t="s">
        <v>60</v>
      </c>
      <c r="AG170">
        <v>1</v>
      </c>
      <c r="AH170" t="s">
        <v>60</v>
      </c>
      <c r="AI170">
        <v>1</v>
      </c>
      <c r="AJ170" t="s">
        <v>58</v>
      </c>
      <c r="AK170">
        <v>2</v>
      </c>
      <c r="AL170" t="s">
        <v>60</v>
      </c>
      <c r="AM170">
        <v>1</v>
      </c>
      <c r="AN170" t="s">
        <v>60</v>
      </c>
      <c r="AO170">
        <v>1</v>
      </c>
      <c r="AP170" t="s">
        <v>60</v>
      </c>
      <c r="AQ170">
        <v>1</v>
      </c>
      <c r="AR170" t="s">
        <v>60</v>
      </c>
      <c r="AS170">
        <v>1</v>
      </c>
      <c r="AT170" t="s">
        <v>60</v>
      </c>
      <c r="AU170">
        <v>1</v>
      </c>
      <c r="AV170">
        <f t="shared" si="2"/>
        <v>17</v>
      </c>
      <c r="AW170" t="str">
        <f>IF(Table1[[#This Row],[Pontuação final]]&lt;=2,"Nenhum", IF(Table1[[#This Row],[Pontuação final]]&lt;=12,"Leve", IF(Table1[[#This Row],[Pontuação final]]&lt;=22,"Moderado", "Grave")))</f>
        <v>Moderado</v>
      </c>
    </row>
    <row r="171" spans="1:49" x14ac:dyDescent="0.3">
      <c r="A171">
        <v>171</v>
      </c>
      <c r="B171" t="s">
        <v>49</v>
      </c>
      <c r="C171" s="1">
        <v>18</v>
      </c>
      <c r="D171" s="1">
        <v>70</v>
      </c>
      <c r="E171" s="1">
        <v>1.8</v>
      </c>
      <c r="F171" t="s">
        <v>104</v>
      </c>
      <c r="G171" t="s">
        <v>79</v>
      </c>
      <c r="H171" t="s">
        <v>52</v>
      </c>
      <c r="I171" t="s">
        <v>62</v>
      </c>
      <c r="J171" s="1" t="s">
        <v>213</v>
      </c>
      <c r="K171" t="s">
        <v>70</v>
      </c>
      <c r="L171" t="s">
        <v>55</v>
      </c>
      <c r="M171" t="s">
        <v>64</v>
      </c>
      <c r="O171" t="s">
        <v>57</v>
      </c>
      <c r="P171" t="s">
        <v>60</v>
      </c>
      <c r="Q171">
        <v>1</v>
      </c>
      <c r="R171" t="s">
        <v>59</v>
      </c>
      <c r="S171">
        <v>0</v>
      </c>
      <c r="T171" t="s">
        <v>59</v>
      </c>
      <c r="U171">
        <v>0</v>
      </c>
      <c r="V171" t="s">
        <v>58</v>
      </c>
      <c r="W171">
        <v>2</v>
      </c>
      <c r="X171" t="s">
        <v>60</v>
      </c>
      <c r="Y171">
        <v>1</v>
      </c>
      <c r="Z171" t="s">
        <v>59</v>
      </c>
      <c r="AA171">
        <v>0</v>
      </c>
      <c r="AB171" t="s">
        <v>60</v>
      </c>
      <c r="AC171">
        <v>1</v>
      </c>
      <c r="AD171" t="s">
        <v>59</v>
      </c>
      <c r="AE171">
        <v>0</v>
      </c>
      <c r="AF171" t="s">
        <v>60</v>
      </c>
      <c r="AG171">
        <v>1</v>
      </c>
      <c r="AH171" t="s">
        <v>59</v>
      </c>
      <c r="AI171">
        <v>0</v>
      </c>
      <c r="AJ171" t="s">
        <v>59</v>
      </c>
      <c r="AK171">
        <v>0</v>
      </c>
      <c r="AL171" t="s">
        <v>58</v>
      </c>
      <c r="AM171">
        <v>2</v>
      </c>
      <c r="AN171" t="s">
        <v>60</v>
      </c>
      <c r="AO171">
        <v>1</v>
      </c>
      <c r="AP171" t="s">
        <v>60</v>
      </c>
      <c r="AQ171">
        <v>1</v>
      </c>
      <c r="AR171" t="s">
        <v>59</v>
      </c>
      <c r="AS171">
        <v>0</v>
      </c>
      <c r="AT171" t="s">
        <v>60</v>
      </c>
      <c r="AU171">
        <v>1</v>
      </c>
      <c r="AV171">
        <f t="shared" si="2"/>
        <v>11</v>
      </c>
      <c r="AW171" t="str">
        <f>IF(Table1[[#This Row],[Pontuação final]]&lt;=2,"Nenhum", IF(Table1[[#This Row],[Pontuação final]]&lt;=12,"Leve", IF(Table1[[#This Row],[Pontuação final]]&lt;=22,"Moderado", "Grave")))</f>
        <v>Leve</v>
      </c>
    </row>
    <row r="172" spans="1:49" x14ac:dyDescent="0.3">
      <c r="A172">
        <v>172</v>
      </c>
      <c r="B172" t="s">
        <v>49</v>
      </c>
      <c r="C172" s="1">
        <v>20</v>
      </c>
      <c r="D172" s="1">
        <v>69</v>
      </c>
      <c r="E172" s="1">
        <v>1.81</v>
      </c>
      <c r="F172" t="s">
        <v>61</v>
      </c>
      <c r="G172" t="s">
        <v>90</v>
      </c>
      <c r="H172" t="s">
        <v>52</v>
      </c>
      <c r="I172" t="s">
        <v>62</v>
      </c>
      <c r="K172" t="s">
        <v>70</v>
      </c>
      <c r="L172" t="s">
        <v>55</v>
      </c>
      <c r="M172" t="s">
        <v>56</v>
      </c>
      <c r="O172" t="s">
        <v>57</v>
      </c>
      <c r="P172" t="s">
        <v>58</v>
      </c>
      <c r="Q172">
        <v>2</v>
      </c>
      <c r="R172" t="s">
        <v>60</v>
      </c>
      <c r="S172">
        <v>1</v>
      </c>
      <c r="T172" t="s">
        <v>58</v>
      </c>
      <c r="U172">
        <v>2</v>
      </c>
      <c r="V172" t="s">
        <v>58</v>
      </c>
      <c r="W172">
        <v>2</v>
      </c>
      <c r="X172" t="s">
        <v>60</v>
      </c>
      <c r="Y172">
        <v>1</v>
      </c>
      <c r="Z172" t="s">
        <v>59</v>
      </c>
      <c r="AA172">
        <v>0</v>
      </c>
      <c r="AB172" t="s">
        <v>60</v>
      </c>
      <c r="AC172">
        <v>1</v>
      </c>
      <c r="AD172" t="s">
        <v>59</v>
      </c>
      <c r="AE172">
        <v>0</v>
      </c>
      <c r="AF172" t="s">
        <v>60</v>
      </c>
      <c r="AG172">
        <v>1</v>
      </c>
      <c r="AH172" t="s">
        <v>60</v>
      </c>
      <c r="AI172">
        <v>1</v>
      </c>
      <c r="AJ172" t="s">
        <v>59</v>
      </c>
      <c r="AK172">
        <v>0</v>
      </c>
      <c r="AL172" t="s">
        <v>58</v>
      </c>
      <c r="AM172">
        <v>2</v>
      </c>
      <c r="AN172" t="s">
        <v>59</v>
      </c>
      <c r="AO172">
        <v>0</v>
      </c>
      <c r="AP172" t="s">
        <v>59</v>
      </c>
      <c r="AQ172">
        <v>0</v>
      </c>
      <c r="AR172" t="s">
        <v>59</v>
      </c>
      <c r="AS172">
        <v>0</v>
      </c>
      <c r="AT172" t="s">
        <v>60</v>
      </c>
      <c r="AU172">
        <v>1</v>
      </c>
      <c r="AV172">
        <f t="shared" si="2"/>
        <v>14</v>
      </c>
      <c r="AW172" t="str">
        <f>IF(Table1[[#This Row],[Pontuação final]]&lt;=2,"Nenhum", IF(Table1[[#This Row],[Pontuação final]]&lt;=12,"Leve", IF(Table1[[#This Row],[Pontuação final]]&lt;=22,"Moderado", "Grave")))</f>
        <v>Moderado</v>
      </c>
    </row>
    <row r="173" spans="1:49" x14ac:dyDescent="0.3">
      <c r="A173">
        <v>173</v>
      </c>
      <c r="B173" t="s">
        <v>66</v>
      </c>
      <c r="C173" s="1">
        <v>21</v>
      </c>
      <c r="D173" s="1">
        <v>52</v>
      </c>
      <c r="E173">
        <v>1.7</v>
      </c>
      <c r="F173" t="s">
        <v>61</v>
      </c>
      <c r="G173" t="s">
        <v>77</v>
      </c>
      <c r="H173" t="s">
        <v>52</v>
      </c>
      <c r="I173" t="s">
        <v>53</v>
      </c>
      <c r="K173" t="s">
        <v>63</v>
      </c>
      <c r="L173" t="s">
        <v>55</v>
      </c>
      <c r="M173" t="s">
        <v>64</v>
      </c>
      <c r="O173" t="s">
        <v>57</v>
      </c>
      <c r="P173" t="s">
        <v>58</v>
      </c>
      <c r="Q173">
        <v>2</v>
      </c>
      <c r="R173" t="s">
        <v>60</v>
      </c>
      <c r="S173">
        <v>1</v>
      </c>
      <c r="T173" t="s">
        <v>58</v>
      </c>
      <c r="U173">
        <v>2</v>
      </c>
      <c r="V173" t="s">
        <v>58</v>
      </c>
      <c r="W173">
        <v>2</v>
      </c>
      <c r="X173" t="s">
        <v>58</v>
      </c>
      <c r="Y173">
        <v>2</v>
      </c>
      <c r="Z173" t="s">
        <v>60</v>
      </c>
      <c r="AA173">
        <v>1</v>
      </c>
      <c r="AB173" t="s">
        <v>58</v>
      </c>
      <c r="AC173">
        <v>2</v>
      </c>
      <c r="AD173" t="s">
        <v>59</v>
      </c>
      <c r="AE173">
        <v>0</v>
      </c>
      <c r="AF173" t="s">
        <v>58</v>
      </c>
      <c r="AG173">
        <v>2</v>
      </c>
      <c r="AH173" t="s">
        <v>58</v>
      </c>
      <c r="AI173">
        <v>2</v>
      </c>
      <c r="AJ173" t="s">
        <v>60</v>
      </c>
      <c r="AK173">
        <v>1</v>
      </c>
      <c r="AL173" t="s">
        <v>60</v>
      </c>
      <c r="AM173">
        <v>1</v>
      </c>
      <c r="AN173" t="s">
        <v>60</v>
      </c>
      <c r="AO173">
        <v>1</v>
      </c>
      <c r="AP173" t="s">
        <v>60</v>
      </c>
      <c r="AQ173">
        <v>1</v>
      </c>
      <c r="AR173" t="s">
        <v>59</v>
      </c>
      <c r="AS173">
        <v>0</v>
      </c>
      <c r="AT173" t="s">
        <v>58</v>
      </c>
      <c r="AU173">
        <v>2</v>
      </c>
      <c r="AV173">
        <f t="shared" si="2"/>
        <v>22</v>
      </c>
      <c r="AW173" t="str">
        <f>IF(Table1[[#This Row],[Pontuação final]]&lt;=2,"Nenhum", IF(Table1[[#This Row],[Pontuação final]]&lt;=12,"Leve", IF(Table1[[#This Row],[Pontuação final]]&lt;=22,"Moderado", "Grave")))</f>
        <v>Moderado</v>
      </c>
    </row>
    <row r="174" spans="1:49" x14ac:dyDescent="0.3">
      <c r="A174">
        <v>174</v>
      </c>
      <c r="B174" t="s">
        <v>66</v>
      </c>
      <c r="C174" s="1">
        <v>19</v>
      </c>
      <c r="D174" s="1">
        <v>58</v>
      </c>
      <c r="E174" s="1">
        <v>1.65</v>
      </c>
      <c r="F174" t="s">
        <v>104</v>
      </c>
      <c r="G174" t="s">
        <v>77</v>
      </c>
      <c r="H174" t="s">
        <v>52</v>
      </c>
      <c r="I174" t="s">
        <v>214</v>
      </c>
      <c r="J174" t="s">
        <v>215</v>
      </c>
      <c r="K174" t="s">
        <v>91</v>
      </c>
      <c r="L174" t="s">
        <v>55</v>
      </c>
      <c r="M174" t="s">
        <v>56</v>
      </c>
      <c r="O174" t="s">
        <v>57</v>
      </c>
      <c r="P174" t="s">
        <v>58</v>
      </c>
      <c r="Q174">
        <v>2</v>
      </c>
      <c r="R174" t="s">
        <v>60</v>
      </c>
      <c r="S174">
        <v>1</v>
      </c>
      <c r="T174" t="s">
        <v>59</v>
      </c>
      <c r="U174">
        <v>0</v>
      </c>
      <c r="V174" t="s">
        <v>58</v>
      </c>
      <c r="W174">
        <v>2</v>
      </c>
      <c r="X174" t="s">
        <v>59</v>
      </c>
      <c r="Y174">
        <v>0</v>
      </c>
      <c r="Z174" t="s">
        <v>59</v>
      </c>
      <c r="AA174">
        <v>0</v>
      </c>
      <c r="AB174" t="s">
        <v>60</v>
      </c>
      <c r="AC174">
        <v>1</v>
      </c>
      <c r="AD174" t="s">
        <v>60</v>
      </c>
      <c r="AE174">
        <v>1</v>
      </c>
      <c r="AF174" t="s">
        <v>60</v>
      </c>
      <c r="AG174">
        <v>1</v>
      </c>
      <c r="AH174" t="s">
        <v>58</v>
      </c>
      <c r="AI174">
        <v>2</v>
      </c>
      <c r="AJ174" t="s">
        <v>58</v>
      </c>
      <c r="AK174">
        <v>2</v>
      </c>
      <c r="AL174" t="s">
        <v>60</v>
      </c>
      <c r="AM174">
        <v>1</v>
      </c>
      <c r="AN174" t="s">
        <v>60</v>
      </c>
      <c r="AO174">
        <v>1</v>
      </c>
      <c r="AP174" t="s">
        <v>59</v>
      </c>
      <c r="AQ174">
        <v>0</v>
      </c>
      <c r="AR174" t="s">
        <v>59</v>
      </c>
      <c r="AS174">
        <v>0</v>
      </c>
      <c r="AT174" t="s">
        <v>58</v>
      </c>
      <c r="AU174">
        <v>2</v>
      </c>
      <c r="AV174">
        <f t="shared" si="2"/>
        <v>16</v>
      </c>
      <c r="AW174" t="str">
        <f>IF(Table1[[#This Row],[Pontuação final]]&lt;=2,"Nenhum", IF(Table1[[#This Row],[Pontuação final]]&lt;=12,"Leve", IF(Table1[[#This Row],[Pontuação final]]&lt;=22,"Moderado", "Grave")))</f>
        <v>Moderado</v>
      </c>
    </row>
    <row r="175" spans="1:49" x14ac:dyDescent="0.3">
      <c r="A175">
        <v>175</v>
      </c>
      <c r="B175" t="s">
        <v>49</v>
      </c>
      <c r="C175" s="1">
        <v>23</v>
      </c>
      <c r="D175" s="1">
        <v>80</v>
      </c>
      <c r="E175" s="1">
        <v>1.75</v>
      </c>
      <c r="F175" t="s">
        <v>50</v>
      </c>
      <c r="G175" t="s">
        <v>71</v>
      </c>
      <c r="H175" t="s">
        <v>52</v>
      </c>
      <c r="I175" t="s">
        <v>62</v>
      </c>
      <c r="K175" t="s">
        <v>108</v>
      </c>
      <c r="L175" t="s">
        <v>109</v>
      </c>
      <c r="M175" t="s">
        <v>56</v>
      </c>
      <c r="O175" t="s">
        <v>65</v>
      </c>
      <c r="P175" t="s">
        <v>58</v>
      </c>
      <c r="Q175">
        <v>2</v>
      </c>
      <c r="R175" t="s">
        <v>58</v>
      </c>
      <c r="S175">
        <v>2</v>
      </c>
      <c r="T175" t="s">
        <v>60</v>
      </c>
      <c r="U175">
        <v>1</v>
      </c>
      <c r="V175" t="s">
        <v>58</v>
      </c>
      <c r="W175">
        <v>2</v>
      </c>
      <c r="X175" t="s">
        <v>60</v>
      </c>
      <c r="Y175">
        <v>1</v>
      </c>
      <c r="Z175" t="s">
        <v>59</v>
      </c>
      <c r="AA175">
        <v>0</v>
      </c>
      <c r="AB175" t="s">
        <v>60</v>
      </c>
      <c r="AC175">
        <v>1</v>
      </c>
      <c r="AD175" t="s">
        <v>59</v>
      </c>
      <c r="AE175">
        <v>0</v>
      </c>
      <c r="AF175" t="s">
        <v>60</v>
      </c>
      <c r="AG175">
        <v>1</v>
      </c>
      <c r="AH175" t="s">
        <v>60</v>
      </c>
      <c r="AI175">
        <v>1</v>
      </c>
      <c r="AJ175" t="s">
        <v>58</v>
      </c>
      <c r="AK175">
        <v>2</v>
      </c>
      <c r="AL175" t="s">
        <v>58</v>
      </c>
      <c r="AM175">
        <v>2</v>
      </c>
      <c r="AN175" t="s">
        <v>60</v>
      </c>
      <c r="AO175">
        <v>1</v>
      </c>
      <c r="AP175" t="s">
        <v>60</v>
      </c>
      <c r="AQ175">
        <v>1</v>
      </c>
      <c r="AR175" t="s">
        <v>59</v>
      </c>
      <c r="AS175">
        <v>0</v>
      </c>
      <c r="AT175" t="s">
        <v>60</v>
      </c>
      <c r="AU175">
        <v>1</v>
      </c>
      <c r="AV175">
        <f t="shared" si="2"/>
        <v>18</v>
      </c>
      <c r="AW175" t="str">
        <f>IF(Table1[[#This Row],[Pontuação final]]&lt;=2,"Nenhum", IF(Table1[[#This Row],[Pontuação final]]&lt;=12,"Leve", IF(Table1[[#This Row],[Pontuação final]]&lt;=22,"Moderado", "Grave")))</f>
        <v>Moderado</v>
      </c>
    </row>
    <row r="176" spans="1:49" x14ac:dyDescent="0.3">
      <c r="A176">
        <v>176</v>
      </c>
      <c r="B176" t="s">
        <v>49</v>
      </c>
      <c r="C176" s="1">
        <v>18</v>
      </c>
      <c r="D176" s="1">
        <v>75</v>
      </c>
      <c r="E176" s="1">
        <v>1.8</v>
      </c>
      <c r="F176" t="s">
        <v>50</v>
      </c>
      <c r="G176" t="s">
        <v>79</v>
      </c>
      <c r="H176" t="s">
        <v>52</v>
      </c>
      <c r="I176" t="s">
        <v>62</v>
      </c>
      <c r="J176" t="s">
        <v>216</v>
      </c>
      <c r="K176" t="s">
        <v>217</v>
      </c>
      <c r="L176" t="s">
        <v>55</v>
      </c>
      <c r="M176" t="s">
        <v>64</v>
      </c>
      <c r="O176" t="s">
        <v>65</v>
      </c>
      <c r="P176" t="s">
        <v>58</v>
      </c>
      <c r="Q176">
        <v>2</v>
      </c>
      <c r="R176" t="s">
        <v>59</v>
      </c>
      <c r="S176">
        <v>0</v>
      </c>
      <c r="T176" t="s">
        <v>58</v>
      </c>
      <c r="U176">
        <v>2</v>
      </c>
      <c r="V176" t="s">
        <v>58</v>
      </c>
      <c r="W176">
        <v>2</v>
      </c>
      <c r="X176" t="s">
        <v>58</v>
      </c>
      <c r="Y176">
        <v>2</v>
      </c>
      <c r="Z176" t="s">
        <v>59</v>
      </c>
      <c r="AA176">
        <v>0</v>
      </c>
      <c r="AB176" t="s">
        <v>59</v>
      </c>
      <c r="AC176">
        <v>0</v>
      </c>
      <c r="AD176" t="s">
        <v>58</v>
      </c>
      <c r="AE176">
        <v>2</v>
      </c>
      <c r="AF176" t="s">
        <v>58</v>
      </c>
      <c r="AG176">
        <v>2</v>
      </c>
      <c r="AH176" t="s">
        <v>58</v>
      </c>
      <c r="AI176">
        <v>2</v>
      </c>
      <c r="AJ176" t="s">
        <v>60</v>
      </c>
      <c r="AK176">
        <v>1</v>
      </c>
      <c r="AL176" t="s">
        <v>60</v>
      </c>
      <c r="AM176">
        <v>1</v>
      </c>
      <c r="AN176" t="s">
        <v>59</v>
      </c>
      <c r="AO176">
        <v>0</v>
      </c>
      <c r="AP176" t="s">
        <v>59</v>
      </c>
      <c r="AQ176">
        <v>0</v>
      </c>
      <c r="AR176" t="s">
        <v>59</v>
      </c>
      <c r="AS176">
        <v>0</v>
      </c>
      <c r="AT176" t="s">
        <v>58</v>
      </c>
      <c r="AU176">
        <v>2</v>
      </c>
      <c r="AV176">
        <f t="shared" si="2"/>
        <v>18</v>
      </c>
      <c r="AW176" t="str">
        <f>IF(Table1[[#This Row],[Pontuação final]]&lt;=2,"Nenhum", IF(Table1[[#This Row],[Pontuação final]]&lt;=12,"Leve", IF(Table1[[#This Row],[Pontuação final]]&lt;=22,"Moderado", "Grave")))</f>
        <v>Moderado</v>
      </c>
    </row>
    <row r="177" spans="1:49" x14ac:dyDescent="0.3">
      <c r="A177">
        <v>177</v>
      </c>
      <c r="B177" t="s">
        <v>49</v>
      </c>
      <c r="C177" s="1">
        <v>19</v>
      </c>
      <c r="D177" s="1">
        <v>72</v>
      </c>
      <c r="E177">
        <v>1.88</v>
      </c>
      <c r="F177" t="s">
        <v>76</v>
      </c>
      <c r="G177" t="s">
        <v>85</v>
      </c>
      <c r="H177" t="s">
        <v>68</v>
      </c>
      <c r="I177" t="s">
        <v>72</v>
      </c>
      <c r="K177" t="s">
        <v>70</v>
      </c>
      <c r="L177" t="s">
        <v>55</v>
      </c>
      <c r="M177" t="s">
        <v>64</v>
      </c>
      <c r="O177" t="s">
        <v>65</v>
      </c>
      <c r="P177" t="s">
        <v>60</v>
      </c>
      <c r="Q177">
        <v>1</v>
      </c>
      <c r="R177" t="s">
        <v>60</v>
      </c>
      <c r="S177">
        <v>1</v>
      </c>
      <c r="T177" t="s">
        <v>59</v>
      </c>
      <c r="U177">
        <v>0</v>
      </c>
      <c r="V177" t="s">
        <v>58</v>
      </c>
      <c r="W177">
        <v>2</v>
      </c>
      <c r="X177" t="s">
        <v>59</v>
      </c>
      <c r="Y177">
        <v>0</v>
      </c>
      <c r="Z177" t="s">
        <v>59</v>
      </c>
      <c r="AA177">
        <v>0</v>
      </c>
      <c r="AB177" t="s">
        <v>59</v>
      </c>
      <c r="AC177">
        <v>0</v>
      </c>
      <c r="AD177" t="s">
        <v>59</v>
      </c>
      <c r="AE177">
        <v>0</v>
      </c>
      <c r="AF177" t="s">
        <v>60</v>
      </c>
      <c r="AG177">
        <v>1</v>
      </c>
      <c r="AH177" t="s">
        <v>59</v>
      </c>
      <c r="AI177">
        <v>0</v>
      </c>
      <c r="AJ177" t="s">
        <v>59</v>
      </c>
      <c r="AK177">
        <v>0</v>
      </c>
      <c r="AL177" t="s">
        <v>60</v>
      </c>
      <c r="AM177">
        <v>1</v>
      </c>
      <c r="AN177" t="s">
        <v>59</v>
      </c>
      <c r="AO177">
        <v>0</v>
      </c>
      <c r="AP177" t="s">
        <v>59</v>
      </c>
      <c r="AQ177">
        <v>0</v>
      </c>
      <c r="AR177" t="s">
        <v>59</v>
      </c>
      <c r="AS177">
        <v>0</v>
      </c>
      <c r="AT177" t="s">
        <v>60</v>
      </c>
      <c r="AU177">
        <v>1</v>
      </c>
      <c r="AV177">
        <f t="shared" si="2"/>
        <v>7</v>
      </c>
      <c r="AW177" t="str">
        <f>IF(Table1[[#This Row],[Pontuação final]]&lt;=2,"Nenhum", IF(Table1[[#This Row],[Pontuação final]]&lt;=12,"Leve", IF(Table1[[#This Row],[Pontuação final]]&lt;=22,"Moderado", "Grave")))</f>
        <v>Leve</v>
      </c>
    </row>
    <row r="178" spans="1:49" x14ac:dyDescent="0.3">
      <c r="A178">
        <v>178</v>
      </c>
      <c r="B178" t="s">
        <v>49</v>
      </c>
      <c r="C178" s="1">
        <v>23</v>
      </c>
      <c r="D178" s="1">
        <v>68</v>
      </c>
      <c r="E178" s="1">
        <v>1.82</v>
      </c>
      <c r="F178" t="s">
        <v>111</v>
      </c>
      <c r="G178" t="s">
        <v>67</v>
      </c>
      <c r="H178" t="s">
        <v>52</v>
      </c>
      <c r="I178" t="s">
        <v>80</v>
      </c>
      <c r="K178" t="s">
        <v>70</v>
      </c>
      <c r="L178" t="s">
        <v>55</v>
      </c>
      <c r="M178" t="s">
        <v>56</v>
      </c>
      <c r="O178" t="s">
        <v>57</v>
      </c>
      <c r="P178" t="s">
        <v>58</v>
      </c>
      <c r="Q178">
        <v>2</v>
      </c>
      <c r="R178" t="s">
        <v>58</v>
      </c>
      <c r="S178">
        <v>2</v>
      </c>
      <c r="T178" t="s">
        <v>58</v>
      </c>
      <c r="U178">
        <v>2</v>
      </c>
      <c r="V178" t="s">
        <v>58</v>
      </c>
      <c r="W178">
        <v>2</v>
      </c>
      <c r="X178" t="s">
        <v>58</v>
      </c>
      <c r="Y178">
        <v>2</v>
      </c>
      <c r="Z178" t="s">
        <v>59</v>
      </c>
      <c r="AA178">
        <v>0</v>
      </c>
      <c r="AB178" t="s">
        <v>59</v>
      </c>
      <c r="AC178">
        <v>0</v>
      </c>
      <c r="AD178" t="s">
        <v>59</v>
      </c>
      <c r="AE178">
        <v>0</v>
      </c>
      <c r="AF178" t="s">
        <v>59</v>
      </c>
      <c r="AG178">
        <v>0</v>
      </c>
      <c r="AH178" t="s">
        <v>58</v>
      </c>
      <c r="AI178">
        <v>2</v>
      </c>
      <c r="AJ178" t="s">
        <v>59</v>
      </c>
      <c r="AK178">
        <v>0</v>
      </c>
      <c r="AL178" t="s">
        <v>60</v>
      </c>
      <c r="AM178">
        <v>1</v>
      </c>
      <c r="AN178" t="s">
        <v>60</v>
      </c>
      <c r="AO178">
        <v>1</v>
      </c>
      <c r="AP178" t="s">
        <v>60</v>
      </c>
      <c r="AQ178">
        <v>1</v>
      </c>
      <c r="AR178" t="s">
        <v>59</v>
      </c>
      <c r="AS178">
        <v>0</v>
      </c>
      <c r="AT178" t="s">
        <v>60</v>
      </c>
      <c r="AU178">
        <v>1</v>
      </c>
      <c r="AV178">
        <f t="shared" si="2"/>
        <v>16</v>
      </c>
      <c r="AW178" t="str">
        <f>IF(Table1[[#This Row],[Pontuação final]]&lt;=2,"Nenhum", IF(Table1[[#This Row],[Pontuação final]]&lt;=12,"Leve", IF(Table1[[#This Row],[Pontuação final]]&lt;=22,"Moderado", "Grave")))</f>
        <v>Moderado</v>
      </c>
    </row>
    <row r="179" spans="1:49" x14ac:dyDescent="0.3">
      <c r="A179">
        <v>179</v>
      </c>
      <c r="B179" t="s">
        <v>66</v>
      </c>
      <c r="C179" s="1">
        <v>23</v>
      </c>
      <c r="D179">
        <v>52.5</v>
      </c>
      <c r="E179">
        <v>1.62</v>
      </c>
      <c r="F179" t="s">
        <v>119</v>
      </c>
      <c r="G179" t="s">
        <v>51</v>
      </c>
      <c r="H179" t="s">
        <v>52</v>
      </c>
      <c r="I179" t="s">
        <v>53</v>
      </c>
      <c r="K179" t="s">
        <v>218</v>
      </c>
      <c r="L179" t="s">
        <v>55</v>
      </c>
      <c r="M179" t="s">
        <v>56</v>
      </c>
      <c r="O179" t="s">
        <v>57</v>
      </c>
      <c r="P179" t="s">
        <v>58</v>
      </c>
      <c r="Q179">
        <v>2</v>
      </c>
      <c r="R179" t="s">
        <v>59</v>
      </c>
      <c r="S179">
        <v>0</v>
      </c>
      <c r="T179" t="s">
        <v>58</v>
      </c>
      <c r="U179">
        <v>2</v>
      </c>
      <c r="V179" t="s">
        <v>58</v>
      </c>
      <c r="W179">
        <v>2</v>
      </c>
      <c r="X179" t="s">
        <v>58</v>
      </c>
      <c r="Y179">
        <v>2</v>
      </c>
      <c r="Z179" t="s">
        <v>58</v>
      </c>
      <c r="AA179">
        <v>2</v>
      </c>
      <c r="AB179" t="s">
        <v>58</v>
      </c>
      <c r="AC179">
        <v>2</v>
      </c>
      <c r="AD179" t="s">
        <v>58</v>
      </c>
      <c r="AE179">
        <v>2</v>
      </c>
      <c r="AF179" t="s">
        <v>60</v>
      </c>
      <c r="AG179">
        <v>1</v>
      </c>
      <c r="AH179" t="s">
        <v>58</v>
      </c>
      <c r="AI179">
        <v>2</v>
      </c>
      <c r="AJ179" t="s">
        <v>58</v>
      </c>
      <c r="AK179">
        <v>2</v>
      </c>
      <c r="AL179" t="s">
        <v>58</v>
      </c>
      <c r="AM179">
        <v>2</v>
      </c>
      <c r="AN179" t="s">
        <v>60</v>
      </c>
      <c r="AO179">
        <v>1</v>
      </c>
      <c r="AP179" t="s">
        <v>58</v>
      </c>
      <c r="AQ179">
        <v>2</v>
      </c>
      <c r="AR179" t="s">
        <v>58</v>
      </c>
      <c r="AS179">
        <v>2</v>
      </c>
      <c r="AT179" t="s">
        <v>58</v>
      </c>
      <c r="AU179">
        <v>2</v>
      </c>
      <c r="AV179">
        <f t="shared" si="2"/>
        <v>28</v>
      </c>
      <c r="AW179" t="str">
        <f>IF(Table1[[#This Row],[Pontuação final]]&lt;=2,"Nenhum", IF(Table1[[#This Row],[Pontuação final]]&lt;=12,"Leve", IF(Table1[[#This Row],[Pontuação final]]&lt;=22,"Moderado", "Grave")))</f>
        <v>Grave</v>
      </c>
    </row>
    <row r="180" spans="1:49" x14ac:dyDescent="0.3">
      <c r="A180">
        <v>180</v>
      </c>
      <c r="B180" t="s">
        <v>49</v>
      </c>
      <c r="C180" s="1">
        <v>26</v>
      </c>
      <c r="D180" s="1">
        <v>78</v>
      </c>
      <c r="E180" s="1">
        <v>1.85</v>
      </c>
      <c r="F180" t="s">
        <v>119</v>
      </c>
      <c r="G180" t="s">
        <v>102</v>
      </c>
      <c r="H180" t="s">
        <v>68</v>
      </c>
      <c r="I180" t="s">
        <v>62</v>
      </c>
      <c r="J180" t="s">
        <v>219</v>
      </c>
      <c r="K180" t="s">
        <v>70</v>
      </c>
      <c r="L180" t="s">
        <v>55</v>
      </c>
      <c r="M180" t="s">
        <v>64</v>
      </c>
      <c r="O180" t="s">
        <v>82</v>
      </c>
      <c r="P180" t="s">
        <v>58</v>
      </c>
      <c r="Q180">
        <v>2</v>
      </c>
      <c r="R180" t="s">
        <v>59</v>
      </c>
      <c r="S180">
        <v>0</v>
      </c>
      <c r="T180" t="s">
        <v>60</v>
      </c>
      <c r="U180">
        <v>1</v>
      </c>
      <c r="V180" t="s">
        <v>58</v>
      </c>
      <c r="W180">
        <v>2</v>
      </c>
      <c r="X180" t="s">
        <v>59</v>
      </c>
      <c r="Y180">
        <v>0</v>
      </c>
      <c r="Z180" t="s">
        <v>59</v>
      </c>
      <c r="AA180">
        <v>0</v>
      </c>
      <c r="AB180" t="s">
        <v>59</v>
      </c>
      <c r="AC180">
        <v>0</v>
      </c>
      <c r="AD180" t="s">
        <v>59</v>
      </c>
      <c r="AE180">
        <v>0</v>
      </c>
      <c r="AF180" t="s">
        <v>58</v>
      </c>
      <c r="AG180">
        <v>2</v>
      </c>
      <c r="AH180" t="s">
        <v>58</v>
      </c>
      <c r="AI180">
        <v>2</v>
      </c>
      <c r="AJ180" t="s">
        <v>58</v>
      </c>
      <c r="AK180">
        <v>2</v>
      </c>
      <c r="AL180" t="s">
        <v>58</v>
      </c>
      <c r="AM180">
        <v>2</v>
      </c>
      <c r="AN180" t="s">
        <v>60</v>
      </c>
      <c r="AO180">
        <v>1</v>
      </c>
      <c r="AP180" t="s">
        <v>59</v>
      </c>
      <c r="AQ180">
        <v>0</v>
      </c>
      <c r="AR180" t="s">
        <v>59</v>
      </c>
      <c r="AS180">
        <v>0</v>
      </c>
      <c r="AT180" t="s">
        <v>60</v>
      </c>
      <c r="AU180">
        <v>1</v>
      </c>
      <c r="AV180">
        <f t="shared" si="2"/>
        <v>15</v>
      </c>
      <c r="AW180" t="str">
        <f>IF(Table1[[#This Row],[Pontuação final]]&lt;=2,"Nenhum", IF(Table1[[#This Row],[Pontuação final]]&lt;=12,"Leve", IF(Table1[[#This Row],[Pontuação final]]&lt;=22,"Moderado", "Grave")))</f>
        <v>Moderado</v>
      </c>
    </row>
    <row r="181" spans="1:49" x14ac:dyDescent="0.3">
      <c r="A181">
        <v>181</v>
      </c>
      <c r="B181" t="s">
        <v>66</v>
      </c>
      <c r="C181" s="1">
        <v>17</v>
      </c>
      <c r="D181">
        <v>60</v>
      </c>
      <c r="E181" s="1">
        <v>1.65</v>
      </c>
      <c r="F181" t="s">
        <v>50</v>
      </c>
      <c r="G181" t="s">
        <v>79</v>
      </c>
      <c r="H181" t="s">
        <v>52</v>
      </c>
      <c r="I181" t="s">
        <v>62</v>
      </c>
      <c r="K181" t="s">
        <v>220</v>
      </c>
      <c r="L181" t="s">
        <v>55</v>
      </c>
      <c r="M181" t="s">
        <v>75</v>
      </c>
      <c r="O181" t="s">
        <v>65</v>
      </c>
      <c r="P181" t="s">
        <v>60</v>
      </c>
      <c r="Q181">
        <v>1</v>
      </c>
      <c r="R181" t="s">
        <v>59</v>
      </c>
      <c r="S181">
        <v>0</v>
      </c>
      <c r="T181" t="s">
        <v>59</v>
      </c>
      <c r="U181">
        <v>0</v>
      </c>
      <c r="V181" t="s">
        <v>58</v>
      </c>
      <c r="W181">
        <v>2</v>
      </c>
      <c r="X181" t="s">
        <v>59</v>
      </c>
      <c r="Y181">
        <v>0</v>
      </c>
      <c r="Z181" t="s">
        <v>60</v>
      </c>
      <c r="AA181">
        <v>1</v>
      </c>
      <c r="AB181" t="s">
        <v>59</v>
      </c>
      <c r="AC181">
        <v>0</v>
      </c>
      <c r="AD181" t="s">
        <v>59</v>
      </c>
      <c r="AE181">
        <v>0</v>
      </c>
      <c r="AF181" t="s">
        <v>58</v>
      </c>
      <c r="AG181">
        <v>2</v>
      </c>
      <c r="AH181" t="s">
        <v>60</v>
      </c>
      <c r="AI181">
        <v>1</v>
      </c>
      <c r="AJ181" t="s">
        <v>59</v>
      </c>
      <c r="AK181">
        <v>0</v>
      </c>
      <c r="AL181" t="s">
        <v>58</v>
      </c>
      <c r="AM181">
        <v>2</v>
      </c>
      <c r="AN181" t="s">
        <v>59</v>
      </c>
      <c r="AO181">
        <v>0</v>
      </c>
      <c r="AP181" t="s">
        <v>59</v>
      </c>
      <c r="AQ181">
        <v>0</v>
      </c>
      <c r="AR181" t="s">
        <v>59</v>
      </c>
      <c r="AS181">
        <v>0</v>
      </c>
      <c r="AT181" t="s">
        <v>58</v>
      </c>
      <c r="AU181">
        <v>2</v>
      </c>
      <c r="AV181">
        <f t="shared" si="2"/>
        <v>11</v>
      </c>
      <c r="AW181" t="str">
        <f>IF(Table1[[#This Row],[Pontuação final]]&lt;=2,"Nenhum", IF(Table1[[#This Row],[Pontuação final]]&lt;=12,"Leve", IF(Table1[[#This Row],[Pontuação final]]&lt;=22,"Moderado", "Grave")))</f>
        <v>Leve</v>
      </c>
    </row>
    <row r="182" spans="1:49" x14ac:dyDescent="0.3">
      <c r="A182">
        <v>182</v>
      </c>
      <c r="B182" t="s">
        <v>49</v>
      </c>
      <c r="C182" s="1">
        <v>22</v>
      </c>
      <c r="D182" s="1">
        <v>62</v>
      </c>
      <c r="E182">
        <v>1.81</v>
      </c>
      <c r="F182" t="s">
        <v>61</v>
      </c>
      <c r="G182" t="s">
        <v>90</v>
      </c>
      <c r="H182" t="s">
        <v>68</v>
      </c>
      <c r="I182" t="s">
        <v>80</v>
      </c>
      <c r="K182" t="s">
        <v>70</v>
      </c>
      <c r="L182" t="s">
        <v>55</v>
      </c>
      <c r="M182" t="s">
        <v>64</v>
      </c>
      <c r="O182" t="s">
        <v>82</v>
      </c>
      <c r="P182" t="s">
        <v>58</v>
      </c>
      <c r="Q182">
        <v>2</v>
      </c>
      <c r="R182" t="s">
        <v>58</v>
      </c>
      <c r="S182">
        <v>2</v>
      </c>
      <c r="T182" t="s">
        <v>60</v>
      </c>
      <c r="U182">
        <v>1</v>
      </c>
      <c r="V182" t="s">
        <v>60</v>
      </c>
      <c r="W182">
        <v>1</v>
      </c>
      <c r="X182" t="s">
        <v>60</v>
      </c>
      <c r="Y182">
        <v>1</v>
      </c>
      <c r="Z182" t="s">
        <v>59</v>
      </c>
      <c r="AA182">
        <v>0</v>
      </c>
      <c r="AB182" t="s">
        <v>59</v>
      </c>
      <c r="AC182">
        <v>0</v>
      </c>
      <c r="AD182" t="s">
        <v>59</v>
      </c>
      <c r="AE182">
        <v>0</v>
      </c>
      <c r="AF182" t="s">
        <v>60</v>
      </c>
      <c r="AG182">
        <v>1</v>
      </c>
      <c r="AH182" t="s">
        <v>58</v>
      </c>
      <c r="AI182">
        <v>2</v>
      </c>
      <c r="AJ182" t="s">
        <v>58</v>
      </c>
      <c r="AK182">
        <v>2</v>
      </c>
      <c r="AL182" t="s">
        <v>59</v>
      </c>
      <c r="AM182">
        <v>0</v>
      </c>
      <c r="AN182" t="s">
        <v>60</v>
      </c>
      <c r="AO182">
        <v>1</v>
      </c>
      <c r="AP182" t="s">
        <v>59</v>
      </c>
      <c r="AQ182">
        <v>0</v>
      </c>
      <c r="AR182" t="s">
        <v>59</v>
      </c>
      <c r="AS182">
        <v>0</v>
      </c>
      <c r="AT182" t="s">
        <v>60</v>
      </c>
      <c r="AU182">
        <v>1</v>
      </c>
      <c r="AV182">
        <f t="shared" si="2"/>
        <v>14</v>
      </c>
      <c r="AW182" t="str">
        <f>IF(Table1[[#This Row],[Pontuação final]]&lt;=2,"Nenhum", IF(Table1[[#This Row],[Pontuação final]]&lt;=12,"Leve", IF(Table1[[#This Row],[Pontuação final]]&lt;=22,"Moderado", "Grave")))</f>
        <v>Moderado</v>
      </c>
    </row>
    <row r="183" spans="1:49" x14ac:dyDescent="0.3">
      <c r="A183">
        <v>183</v>
      </c>
      <c r="B183" t="s">
        <v>49</v>
      </c>
      <c r="C183" s="1">
        <v>21</v>
      </c>
      <c r="D183" s="1">
        <v>55</v>
      </c>
      <c r="E183" s="1">
        <v>1.73</v>
      </c>
      <c r="F183" t="s">
        <v>61</v>
      </c>
      <c r="G183" t="s">
        <v>67</v>
      </c>
      <c r="H183" t="s">
        <v>52</v>
      </c>
      <c r="I183" t="s">
        <v>80</v>
      </c>
      <c r="K183" t="s">
        <v>70</v>
      </c>
      <c r="L183" t="s">
        <v>55</v>
      </c>
      <c r="M183" t="s">
        <v>64</v>
      </c>
      <c r="O183" t="s">
        <v>57</v>
      </c>
      <c r="P183" t="s">
        <v>58</v>
      </c>
      <c r="Q183">
        <v>2</v>
      </c>
      <c r="R183" t="s">
        <v>60</v>
      </c>
      <c r="S183">
        <v>1</v>
      </c>
      <c r="T183" t="s">
        <v>58</v>
      </c>
      <c r="U183">
        <v>2</v>
      </c>
      <c r="V183" t="s">
        <v>58</v>
      </c>
      <c r="W183">
        <v>2</v>
      </c>
      <c r="X183" t="s">
        <v>59</v>
      </c>
      <c r="Y183">
        <v>0</v>
      </c>
      <c r="Z183" t="s">
        <v>59</v>
      </c>
      <c r="AA183">
        <v>0</v>
      </c>
      <c r="AB183" t="s">
        <v>60</v>
      </c>
      <c r="AC183">
        <v>1</v>
      </c>
      <c r="AD183" t="s">
        <v>59</v>
      </c>
      <c r="AE183">
        <v>0</v>
      </c>
      <c r="AF183" t="s">
        <v>60</v>
      </c>
      <c r="AG183">
        <v>1</v>
      </c>
      <c r="AH183" t="s">
        <v>60</v>
      </c>
      <c r="AI183">
        <v>1</v>
      </c>
      <c r="AJ183" t="s">
        <v>59</v>
      </c>
      <c r="AK183">
        <v>0</v>
      </c>
      <c r="AL183" t="s">
        <v>60</v>
      </c>
      <c r="AM183">
        <v>1</v>
      </c>
      <c r="AN183" t="s">
        <v>60</v>
      </c>
      <c r="AO183">
        <v>1</v>
      </c>
      <c r="AP183" t="s">
        <v>58</v>
      </c>
      <c r="AQ183">
        <v>2</v>
      </c>
      <c r="AR183" t="s">
        <v>59</v>
      </c>
      <c r="AS183">
        <v>0</v>
      </c>
      <c r="AT183" t="s">
        <v>58</v>
      </c>
      <c r="AU183">
        <v>2</v>
      </c>
      <c r="AV183">
        <f t="shared" si="2"/>
        <v>16</v>
      </c>
      <c r="AW183" t="str">
        <f>IF(Table1[[#This Row],[Pontuação final]]&lt;=2,"Nenhum", IF(Table1[[#This Row],[Pontuação final]]&lt;=12,"Leve", IF(Table1[[#This Row],[Pontuação final]]&lt;=22,"Moderado", "Grave")))</f>
        <v>Moderado</v>
      </c>
    </row>
    <row r="184" spans="1:49" x14ac:dyDescent="0.3">
      <c r="A184">
        <v>184</v>
      </c>
      <c r="B184" t="s">
        <v>66</v>
      </c>
      <c r="C184" s="1">
        <v>18</v>
      </c>
      <c r="D184" s="1">
        <v>54</v>
      </c>
      <c r="E184">
        <v>1.52</v>
      </c>
      <c r="F184" t="s">
        <v>61</v>
      </c>
      <c r="G184" t="s">
        <v>51</v>
      </c>
      <c r="H184" t="s">
        <v>68</v>
      </c>
      <c r="I184" t="s">
        <v>72</v>
      </c>
      <c r="K184" t="s">
        <v>221</v>
      </c>
      <c r="L184" t="s">
        <v>179</v>
      </c>
      <c r="M184" t="s">
        <v>64</v>
      </c>
      <c r="O184" t="s">
        <v>65</v>
      </c>
      <c r="P184" t="s">
        <v>60</v>
      </c>
      <c r="Q184">
        <v>1</v>
      </c>
      <c r="R184" t="s">
        <v>59</v>
      </c>
      <c r="S184">
        <v>0</v>
      </c>
      <c r="T184" t="s">
        <v>59</v>
      </c>
      <c r="U184">
        <v>0</v>
      </c>
      <c r="V184" t="s">
        <v>60</v>
      </c>
      <c r="W184">
        <v>1</v>
      </c>
      <c r="X184" t="s">
        <v>58</v>
      </c>
      <c r="Y184">
        <v>2</v>
      </c>
      <c r="Z184" t="s">
        <v>59</v>
      </c>
      <c r="AA184">
        <v>0</v>
      </c>
      <c r="AB184" t="s">
        <v>60</v>
      </c>
      <c r="AC184">
        <v>1</v>
      </c>
      <c r="AD184" t="s">
        <v>58</v>
      </c>
      <c r="AE184">
        <v>2</v>
      </c>
      <c r="AF184" t="s">
        <v>60</v>
      </c>
      <c r="AG184">
        <v>1</v>
      </c>
      <c r="AH184" t="s">
        <v>59</v>
      </c>
      <c r="AI184">
        <v>0</v>
      </c>
      <c r="AJ184" t="s">
        <v>59</v>
      </c>
      <c r="AK184">
        <v>0</v>
      </c>
      <c r="AL184" t="s">
        <v>60</v>
      </c>
      <c r="AM184">
        <v>1</v>
      </c>
      <c r="AN184" t="s">
        <v>60</v>
      </c>
      <c r="AO184">
        <v>1</v>
      </c>
      <c r="AP184" t="s">
        <v>60</v>
      </c>
      <c r="AQ184">
        <v>1</v>
      </c>
      <c r="AR184" t="s">
        <v>59</v>
      </c>
      <c r="AS184">
        <v>0</v>
      </c>
      <c r="AT184" t="s">
        <v>58</v>
      </c>
      <c r="AU184">
        <v>2</v>
      </c>
      <c r="AV184">
        <f t="shared" si="2"/>
        <v>13</v>
      </c>
      <c r="AW184" t="str">
        <f>IF(Table1[[#This Row],[Pontuação final]]&lt;=2,"Nenhum", IF(Table1[[#This Row],[Pontuação final]]&lt;=12,"Leve", IF(Table1[[#This Row],[Pontuação final]]&lt;=22,"Moderado", "Grave")))</f>
        <v>Moderado</v>
      </c>
    </row>
    <row r="185" spans="1:49" x14ac:dyDescent="0.3">
      <c r="A185">
        <v>185</v>
      </c>
      <c r="B185" t="s">
        <v>49</v>
      </c>
      <c r="C185" s="1">
        <v>18</v>
      </c>
      <c r="D185" s="1">
        <v>68</v>
      </c>
      <c r="E185" s="1">
        <v>1.8</v>
      </c>
      <c r="F185" t="s">
        <v>76</v>
      </c>
      <c r="G185" t="s">
        <v>79</v>
      </c>
      <c r="H185" t="s">
        <v>52</v>
      </c>
      <c r="I185" t="s">
        <v>62</v>
      </c>
      <c r="K185" t="s">
        <v>54</v>
      </c>
      <c r="L185" t="s">
        <v>55</v>
      </c>
      <c r="M185" t="s">
        <v>56</v>
      </c>
      <c r="O185" t="s">
        <v>65</v>
      </c>
      <c r="P185" t="s">
        <v>60</v>
      </c>
      <c r="Q185">
        <v>1</v>
      </c>
      <c r="R185" t="s">
        <v>59</v>
      </c>
      <c r="S185">
        <v>0</v>
      </c>
      <c r="T185" t="s">
        <v>58</v>
      </c>
      <c r="U185">
        <v>2</v>
      </c>
      <c r="V185" t="s">
        <v>58</v>
      </c>
      <c r="W185">
        <v>2</v>
      </c>
      <c r="X185" t="s">
        <v>59</v>
      </c>
      <c r="Y185">
        <v>0</v>
      </c>
      <c r="Z185" t="s">
        <v>59</v>
      </c>
      <c r="AA185">
        <v>0</v>
      </c>
      <c r="AB185" t="s">
        <v>59</v>
      </c>
      <c r="AC185">
        <v>0</v>
      </c>
      <c r="AD185" t="s">
        <v>58</v>
      </c>
      <c r="AE185">
        <v>2</v>
      </c>
      <c r="AF185" t="s">
        <v>60</v>
      </c>
      <c r="AG185">
        <v>1</v>
      </c>
      <c r="AH185" t="s">
        <v>59</v>
      </c>
      <c r="AI185">
        <v>0</v>
      </c>
      <c r="AJ185" t="s">
        <v>59</v>
      </c>
      <c r="AK185">
        <v>0</v>
      </c>
      <c r="AL185" t="s">
        <v>58</v>
      </c>
      <c r="AM185">
        <v>2</v>
      </c>
      <c r="AN185" t="s">
        <v>59</v>
      </c>
      <c r="AO185">
        <v>0</v>
      </c>
      <c r="AP185" t="s">
        <v>59</v>
      </c>
      <c r="AQ185">
        <v>0</v>
      </c>
      <c r="AR185" t="s">
        <v>60</v>
      </c>
      <c r="AS185">
        <v>1</v>
      </c>
      <c r="AT185" t="s">
        <v>58</v>
      </c>
      <c r="AU185">
        <v>2</v>
      </c>
      <c r="AV185">
        <f t="shared" si="2"/>
        <v>13</v>
      </c>
      <c r="AW185" t="str">
        <f>IF(Table1[[#This Row],[Pontuação final]]&lt;=2,"Nenhum", IF(Table1[[#This Row],[Pontuação final]]&lt;=12,"Leve", IF(Table1[[#This Row],[Pontuação final]]&lt;=22,"Moderado", "Grave")))</f>
        <v>Moderado</v>
      </c>
    </row>
    <row r="186" spans="1:49" x14ac:dyDescent="0.3">
      <c r="A186">
        <v>186</v>
      </c>
      <c r="B186" t="s">
        <v>49</v>
      </c>
      <c r="C186" s="1">
        <v>18</v>
      </c>
      <c r="D186" s="1">
        <v>72</v>
      </c>
      <c r="E186">
        <v>1.75</v>
      </c>
      <c r="F186" t="s">
        <v>61</v>
      </c>
      <c r="G186" t="s">
        <v>79</v>
      </c>
      <c r="H186" t="s">
        <v>52</v>
      </c>
      <c r="I186" t="s">
        <v>62</v>
      </c>
      <c r="K186" t="s">
        <v>141</v>
      </c>
      <c r="L186" t="s">
        <v>55</v>
      </c>
      <c r="M186" t="s">
        <v>75</v>
      </c>
      <c r="O186" t="s">
        <v>57</v>
      </c>
      <c r="P186" t="s">
        <v>60</v>
      </c>
      <c r="Q186">
        <v>1</v>
      </c>
      <c r="R186" t="s">
        <v>59</v>
      </c>
      <c r="S186">
        <v>0</v>
      </c>
      <c r="T186" t="s">
        <v>59</v>
      </c>
      <c r="U186">
        <v>0</v>
      </c>
      <c r="V186" t="s">
        <v>58</v>
      </c>
      <c r="W186">
        <v>2</v>
      </c>
      <c r="X186" t="s">
        <v>59</v>
      </c>
      <c r="Y186">
        <v>0</v>
      </c>
      <c r="Z186" t="s">
        <v>59</v>
      </c>
      <c r="AA186">
        <v>0</v>
      </c>
      <c r="AB186" t="s">
        <v>59</v>
      </c>
      <c r="AC186">
        <v>0</v>
      </c>
      <c r="AD186" t="s">
        <v>59</v>
      </c>
      <c r="AE186">
        <v>0</v>
      </c>
      <c r="AF186" t="s">
        <v>60</v>
      </c>
      <c r="AG186">
        <v>1</v>
      </c>
      <c r="AH186" t="s">
        <v>58</v>
      </c>
      <c r="AI186">
        <v>2</v>
      </c>
      <c r="AJ186" t="s">
        <v>58</v>
      </c>
      <c r="AK186">
        <v>2</v>
      </c>
      <c r="AL186" t="s">
        <v>58</v>
      </c>
      <c r="AM186">
        <v>2</v>
      </c>
      <c r="AN186" t="s">
        <v>60</v>
      </c>
      <c r="AO186">
        <v>1</v>
      </c>
      <c r="AP186" t="s">
        <v>60</v>
      </c>
      <c r="AQ186">
        <v>1</v>
      </c>
      <c r="AR186" t="s">
        <v>59</v>
      </c>
      <c r="AS186">
        <v>0</v>
      </c>
      <c r="AT186" t="s">
        <v>60</v>
      </c>
      <c r="AU186">
        <v>1</v>
      </c>
      <c r="AV186">
        <f t="shared" si="2"/>
        <v>13</v>
      </c>
      <c r="AW186" t="str">
        <f>IF(Table1[[#This Row],[Pontuação final]]&lt;=2,"Nenhum", IF(Table1[[#This Row],[Pontuação final]]&lt;=12,"Leve", IF(Table1[[#This Row],[Pontuação final]]&lt;=22,"Moderado", "Grave")))</f>
        <v>Moderado</v>
      </c>
    </row>
    <row r="187" spans="1:49" x14ac:dyDescent="0.3">
      <c r="A187">
        <v>187</v>
      </c>
      <c r="B187" t="s">
        <v>49</v>
      </c>
      <c r="C187" s="1">
        <v>22</v>
      </c>
      <c r="D187" s="1">
        <v>64</v>
      </c>
      <c r="E187" s="1">
        <v>1.75</v>
      </c>
      <c r="F187" t="s">
        <v>61</v>
      </c>
      <c r="G187" t="s">
        <v>71</v>
      </c>
      <c r="H187" t="s">
        <v>68</v>
      </c>
      <c r="I187" t="s">
        <v>97</v>
      </c>
      <c r="K187" t="s">
        <v>70</v>
      </c>
      <c r="L187" t="s">
        <v>55</v>
      </c>
      <c r="M187" t="s">
        <v>75</v>
      </c>
      <c r="O187" t="s">
        <v>82</v>
      </c>
      <c r="P187" t="s">
        <v>58</v>
      </c>
      <c r="Q187">
        <v>2</v>
      </c>
      <c r="R187" t="s">
        <v>58</v>
      </c>
      <c r="S187">
        <v>2</v>
      </c>
      <c r="T187" t="s">
        <v>59</v>
      </c>
      <c r="U187">
        <v>0</v>
      </c>
      <c r="V187" t="s">
        <v>58</v>
      </c>
      <c r="W187">
        <v>2</v>
      </c>
      <c r="X187" t="s">
        <v>59</v>
      </c>
      <c r="Y187">
        <v>0</v>
      </c>
      <c r="Z187" t="s">
        <v>59</v>
      </c>
      <c r="AA187">
        <v>0</v>
      </c>
      <c r="AB187" t="s">
        <v>59</v>
      </c>
      <c r="AC187">
        <v>0</v>
      </c>
      <c r="AD187" t="s">
        <v>59</v>
      </c>
      <c r="AE187">
        <v>0</v>
      </c>
      <c r="AF187" t="s">
        <v>60</v>
      </c>
      <c r="AG187">
        <v>1</v>
      </c>
      <c r="AH187" t="s">
        <v>60</v>
      </c>
      <c r="AI187">
        <v>1</v>
      </c>
      <c r="AJ187" t="s">
        <v>58</v>
      </c>
      <c r="AK187">
        <v>2</v>
      </c>
      <c r="AL187" t="s">
        <v>58</v>
      </c>
      <c r="AM187">
        <v>2</v>
      </c>
      <c r="AN187" t="s">
        <v>60</v>
      </c>
      <c r="AO187">
        <v>1</v>
      </c>
      <c r="AP187" t="s">
        <v>59</v>
      </c>
      <c r="AQ187">
        <v>0</v>
      </c>
      <c r="AR187" t="s">
        <v>59</v>
      </c>
      <c r="AS187">
        <v>0</v>
      </c>
      <c r="AT187" t="s">
        <v>58</v>
      </c>
      <c r="AU187">
        <v>2</v>
      </c>
      <c r="AV187">
        <f t="shared" si="2"/>
        <v>15</v>
      </c>
      <c r="AW187" t="str">
        <f>IF(Table1[[#This Row],[Pontuação final]]&lt;=2,"Nenhum", IF(Table1[[#This Row],[Pontuação final]]&lt;=12,"Leve", IF(Table1[[#This Row],[Pontuação final]]&lt;=22,"Moderado", "Grave")))</f>
        <v>Moderado</v>
      </c>
    </row>
    <row r="188" spans="1:49" x14ac:dyDescent="0.3">
      <c r="A188">
        <v>188</v>
      </c>
      <c r="B188" t="s">
        <v>49</v>
      </c>
      <c r="C188" s="1">
        <v>22</v>
      </c>
      <c r="D188" s="1">
        <v>70</v>
      </c>
      <c r="E188" s="1">
        <v>1.74</v>
      </c>
      <c r="F188" t="s">
        <v>61</v>
      </c>
      <c r="G188" t="s">
        <v>102</v>
      </c>
      <c r="H188" t="s">
        <v>52</v>
      </c>
      <c r="I188" t="s">
        <v>80</v>
      </c>
      <c r="K188" t="s">
        <v>222</v>
      </c>
      <c r="L188" t="s">
        <v>55</v>
      </c>
      <c r="M188" t="s">
        <v>56</v>
      </c>
      <c r="O188" t="s">
        <v>65</v>
      </c>
      <c r="P188" t="s">
        <v>58</v>
      </c>
      <c r="Q188">
        <v>2</v>
      </c>
      <c r="R188" t="s">
        <v>58</v>
      </c>
      <c r="S188">
        <v>2</v>
      </c>
      <c r="T188" t="s">
        <v>58</v>
      </c>
      <c r="U188">
        <v>2</v>
      </c>
      <c r="V188" t="s">
        <v>58</v>
      </c>
      <c r="W188">
        <v>2</v>
      </c>
      <c r="X188" t="s">
        <v>59</v>
      </c>
      <c r="Y188">
        <v>0</v>
      </c>
      <c r="Z188" t="s">
        <v>59</v>
      </c>
      <c r="AA188">
        <v>0</v>
      </c>
      <c r="AB188" t="s">
        <v>59</v>
      </c>
      <c r="AC188">
        <v>0</v>
      </c>
      <c r="AD188" t="s">
        <v>59</v>
      </c>
      <c r="AE188">
        <v>0</v>
      </c>
      <c r="AF188" t="s">
        <v>60</v>
      </c>
      <c r="AG188">
        <v>1</v>
      </c>
      <c r="AH188" t="s">
        <v>60</v>
      </c>
      <c r="AI188">
        <v>1</v>
      </c>
      <c r="AJ188" t="s">
        <v>58</v>
      </c>
      <c r="AK188">
        <v>2</v>
      </c>
      <c r="AL188" t="s">
        <v>58</v>
      </c>
      <c r="AM188">
        <v>2</v>
      </c>
      <c r="AN188" t="s">
        <v>60</v>
      </c>
      <c r="AO188">
        <v>1</v>
      </c>
      <c r="AP188" t="s">
        <v>59</v>
      </c>
      <c r="AQ188">
        <v>0</v>
      </c>
      <c r="AR188" t="s">
        <v>58</v>
      </c>
      <c r="AS188">
        <v>2</v>
      </c>
      <c r="AT188" t="s">
        <v>60</v>
      </c>
      <c r="AU188">
        <v>1</v>
      </c>
      <c r="AV188">
        <f t="shared" si="2"/>
        <v>18</v>
      </c>
      <c r="AW188" t="str">
        <f>IF(Table1[[#This Row],[Pontuação final]]&lt;=2,"Nenhum", IF(Table1[[#This Row],[Pontuação final]]&lt;=12,"Leve", IF(Table1[[#This Row],[Pontuação final]]&lt;=22,"Moderado", "Grave")))</f>
        <v>Moderado</v>
      </c>
    </row>
    <row r="189" spans="1:49" x14ac:dyDescent="0.3">
      <c r="A189">
        <v>189</v>
      </c>
      <c r="B189" t="s">
        <v>49</v>
      </c>
      <c r="C189" s="1">
        <v>21</v>
      </c>
      <c r="D189" s="1">
        <v>75</v>
      </c>
      <c r="E189" s="1">
        <v>1.71</v>
      </c>
      <c r="F189" t="s">
        <v>61</v>
      </c>
      <c r="G189" t="s">
        <v>71</v>
      </c>
      <c r="H189" t="s">
        <v>68</v>
      </c>
      <c r="I189" t="s">
        <v>80</v>
      </c>
      <c r="K189" t="s">
        <v>223</v>
      </c>
      <c r="L189" t="s">
        <v>55</v>
      </c>
      <c r="M189" t="s">
        <v>56</v>
      </c>
      <c r="O189" t="s">
        <v>65</v>
      </c>
      <c r="P189" t="s">
        <v>60</v>
      </c>
      <c r="Q189">
        <v>1</v>
      </c>
      <c r="R189" t="s">
        <v>60</v>
      </c>
      <c r="S189">
        <v>1</v>
      </c>
      <c r="T189" t="s">
        <v>60</v>
      </c>
      <c r="U189">
        <v>1</v>
      </c>
      <c r="V189" t="s">
        <v>58</v>
      </c>
      <c r="W189">
        <v>2</v>
      </c>
      <c r="X189" t="s">
        <v>60</v>
      </c>
      <c r="Y189">
        <v>1</v>
      </c>
      <c r="Z189" t="s">
        <v>59</v>
      </c>
      <c r="AA189">
        <v>0</v>
      </c>
      <c r="AB189" t="s">
        <v>60</v>
      </c>
      <c r="AC189">
        <v>1</v>
      </c>
      <c r="AD189" t="s">
        <v>59</v>
      </c>
      <c r="AE189">
        <v>0</v>
      </c>
      <c r="AF189" t="s">
        <v>60</v>
      </c>
      <c r="AG189">
        <v>1</v>
      </c>
      <c r="AH189" t="s">
        <v>60</v>
      </c>
      <c r="AI189">
        <v>1</v>
      </c>
      <c r="AJ189" t="s">
        <v>59</v>
      </c>
      <c r="AK189">
        <v>0</v>
      </c>
      <c r="AL189" t="s">
        <v>60</v>
      </c>
      <c r="AM189">
        <v>1</v>
      </c>
      <c r="AN189" t="s">
        <v>59</v>
      </c>
      <c r="AO189">
        <v>0</v>
      </c>
      <c r="AP189" t="s">
        <v>60</v>
      </c>
      <c r="AQ189">
        <v>1</v>
      </c>
      <c r="AR189" t="s">
        <v>59</v>
      </c>
      <c r="AS189">
        <v>0</v>
      </c>
      <c r="AT189" t="s">
        <v>60</v>
      </c>
      <c r="AU189">
        <v>1</v>
      </c>
      <c r="AV189">
        <f t="shared" si="2"/>
        <v>12</v>
      </c>
      <c r="AW189" t="str">
        <f>IF(Table1[[#This Row],[Pontuação final]]&lt;=2,"Nenhum", IF(Table1[[#This Row],[Pontuação final]]&lt;=12,"Leve", IF(Table1[[#This Row],[Pontuação final]]&lt;=22,"Moderado", "Grave")))</f>
        <v>Leve</v>
      </c>
    </row>
    <row r="190" spans="1:49" x14ac:dyDescent="0.3">
      <c r="A190">
        <v>190</v>
      </c>
      <c r="B190" t="s">
        <v>66</v>
      </c>
      <c r="C190" s="1">
        <v>25</v>
      </c>
      <c r="D190">
        <v>61.35</v>
      </c>
      <c r="E190" s="1">
        <v>1.55</v>
      </c>
      <c r="F190" t="s">
        <v>111</v>
      </c>
      <c r="G190" t="s">
        <v>90</v>
      </c>
      <c r="H190" t="s">
        <v>52</v>
      </c>
      <c r="I190" t="s">
        <v>72</v>
      </c>
      <c r="K190" t="s">
        <v>224</v>
      </c>
      <c r="L190" t="s">
        <v>55</v>
      </c>
      <c r="M190" t="s">
        <v>56</v>
      </c>
      <c r="O190" t="s">
        <v>82</v>
      </c>
      <c r="P190" t="s">
        <v>58</v>
      </c>
      <c r="Q190">
        <v>2</v>
      </c>
      <c r="R190" t="s">
        <v>58</v>
      </c>
      <c r="S190">
        <v>2</v>
      </c>
      <c r="T190" t="s">
        <v>59</v>
      </c>
      <c r="U190">
        <v>0</v>
      </c>
      <c r="V190" t="s">
        <v>58</v>
      </c>
      <c r="W190">
        <v>2</v>
      </c>
      <c r="X190" t="s">
        <v>59</v>
      </c>
      <c r="Y190">
        <v>0</v>
      </c>
      <c r="Z190" t="s">
        <v>59</v>
      </c>
      <c r="AA190">
        <v>0</v>
      </c>
      <c r="AB190" t="s">
        <v>59</v>
      </c>
      <c r="AC190">
        <v>0</v>
      </c>
      <c r="AD190" t="s">
        <v>59</v>
      </c>
      <c r="AE190">
        <v>0</v>
      </c>
      <c r="AF190" t="s">
        <v>58</v>
      </c>
      <c r="AG190">
        <v>2</v>
      </c>
      <c r="AH190" t="s">
        <v>58</v>
      </c>
      <c r="AI190">
        <v>2</v>
      </c>
      <c r="AJ190" t="s">
        <v>58</v>
      </c>
      <c r="AK190">
        <v>2</v>
      </c>
      <c r="AL190" t="s">
        <v>58</v>
      </c>
      <c r="AM190">
        <v>2</v>
      </c>
      <c r="AN190" t="s">
        <v>59</v>
      </c>
      <c r="AO190">
        <v>0</v>
      </c>
      <c r="AP190" t="s">
        <v>60</v>
      </c>
      <c r="AQ190">
        <v>1</v>
      </c>
      <c r="AR190" t="s">
        <v>59</v>
      </c>
      <c r="AS190">
        <v>0</v>
      </c>
      <c r="AT190" t="s">
        <v>58</v>
      </c>
      <c r="AU190">
        <v>2</v>
      </c>
      <c r="AV190">
        <f t="shared" si="2"/>
        <v>17</v>
      </c>
      <c r="AW190" t="str">
        <f>IF(Table1[[#This Row],[Pontuação final]]&lt;=2,"Nenhum", IF(Table1[[#This Row],[Pontuação final]]&lt;=12,"Leve", IF(Table1[[#This Row],[Pontuação final]]&lt;=22,"Moderado", "Grave")))</f>
        <v>Moderado</v>
      </c>
    </row>
    <row r="191" spans="1:49" x14ac:dyDescent="0.3">
      <c r="A191">
        <v>191</v>
      </c>
      <c r="B191" t="s">
        <v>49</v>
      </c>
      <c r="C191" s="1">
        <v>17</v>
      </c>
      <c r="D191" s="1">
        <v>77</v>
      </c>
      <c r="E191" s="1">
        <v>1.82</v>
      </c>
      <c r="F191" t="s">
        <v>50</v>
      </c>
      <c r="G191" t="s">
        <v>79</v>
      </c>
      <c r="H191" t="s">
        <v>52</v>
      </c>
      <c r="I191" t="s">
        <v>62</v>
      </c>
      <c r="K191" t="s">
        <v>225</v>
      </c>
      <c r="L191" t="s">
        <v>55</v>
      </c>
      <c r="M191" t="s">
        <v>56</v>
      </c>
      <c r="O191" t="s">
        <v>57</v>
      </c>
      <c r="P191" t="s">
        <v>58</v>
      </c>
      <c r="Q191">
        <v>2</v>
      </c>
      <c r="R191" t="s">
        <v>58</v>
      </c>
      <c r="S191">
        <v>2</v>
      </c>
      <c r="T191" t="s">
        <v>58</v>
      </c>
      <c r="U191">
        <v>2</v>
      </c>
      <c r="V191" t="s">
        <v>58</v>
      </c>
      <c r="W191">
        <v>2</v>
      </c>
      <c r="X191" t="s">
        <v>60</v>
      </c>
      <c r="Y191">
        <v>1</v>
      </c>
      <c r="Z191" t="s">
        <v>60</v>
      </c>
      <c r="AA191">
        <v>1</v>
      </c>
      <c r="AB191" t="s">
        <v>58</v>
      </c>
      <c r="AC191">
        <v>2</v>
      </c>
      <c r="AD191" t="s">
        <v>58</v>
      </c>
      <c r="AE191">
        <v>2</v>
      </c>
      <c r="AF191" t="s">
        <v>60</v>
      </c>
      <c r="AG191">
        <v>1</v>
      </c>
      <c r="AH191" t="s">
        <v>58</v>
      </c>
      <c r="AI191">
        <v>2</v>
      </c>
      <c r="AJ191" t="s">
        <v>60</v>
      </c>
      <c r="AK191">
        <v>1</v>
      </c>
      <c r="AL191" t="s">
        <v>60</v>
      </c>
      <c r="AM191">
        <v>1</v>
      </c>
      <c r="AN191" t="s">
        <v>58</v>
      </c>
      <c r="AO191">
        <v>2</v>
      </c>
      <c r="AP191" t="s">
        <v>60</v>
      </c>
      <c r="AQ191">
        <v>1</v>
      </c>
      <c r="AR191" t="s">
        <v>60</v>
      </c>
      <c r="AS191">
        <v>1</v>
      </c>
      <c r="AT191" t="s">
        <v>58</v>
      </c>
      <c r="AU191">
        <v>2</v>
      </c>
      <c r="AV191">
        <f t="shared" si="2"/>
        <v>25</v>
      </c>
      <c r="AW191" t="str">
        <f>IF(Table1[[#This Row],[Pontuação final]]&lt;=2,"Nenhum", IF(Table1[[#This Row],[Pontuação final]]&lt;=12,"Leve", IF(Table1[[#This Row],[Pontuação final]]&lt;=22,"Moderado", "Grave")))</f>
        <v>Grave</v>
      </c>
    </row>
    <row r="192" spans="1:49" x14ac:dyDescent="0.3">
      <c r="A192">
        <v>192</v>
      </c>
      <c r="B192" t="s">
        <v>49</v>
      </c>
      <c r="C192" s="1">
        <v>25</v>
      </c>
      <c r="D192" s="1">
        <v>70</v>
      </c>
      <c r="E192">
        <v>1.8</v>
      </c>
      <c r="F192" t="s">
        <v>50</v>
      </c>
      <c r="G192" t="s">
        <v>102</v>
      </c>
      <c r="H192" t="s">
        <v>68</v>
      </c>
      <c r="I192" t="s">
        <v>80</v>
      </c>
      <c r="K192" t="s">
        <v>63</v>
      </c>
      <c r="L192" t="s">
        <v>55</v>
      </c>
      <c r="M192" t="s">
        <v>75</v>
      </c>
      <c r="O192" t="s">
        <v>82</v>
      </c>
      <c r="P192" t="s">
        <v>59</v>
      </c>
      <c r="Q192">
        <v>0</v>
      </c>
      <c r="R192" t="s">
        <v>58</v>
      </c>
      <c r="S192">
        <v>2</v>
      </c>
      <c r="T192" t="s">
        <v>58</v>
      </c>
      <c r="U192">
        <v>2</v>
      </c>
      <c r="V192" t="s">
        <v>59</v>
      </c>
      <c r="W192">
        <v>0</v>
      </c>
      <c r="X192" t="s">
        <v>59</v>
      </c>
      <c r="Y192">
        <v>0</v>
      </c>
      <c r="Z192" t="s">
        <v>59</v>
      </c>
      <c r="AA192">
        <v>0</v>
      </c>
      <c r="AB192" t="s">
        <v>58</v>
      </c>
      <c r="AC192">
        <v>2</v>
      </c>
      <c r="AD192" t="s">
        <v>58</v>
      </c>
      <c r="AE192">
        <v>2</v>
      </c>
      <c r="AF192" t="s">
        <v>59</v>
      </c>
      <c r="AG192">
        <v>0</v>
      </c>
      <c r="AH192" t="s">
        <v>58</v>
      </c>
      <c r="AI192">
        <v>2</v>
      </c>
      <c r="AJ192" t="s">
        <v>58</v>
      </c>
      <c r="AK192">
        <v>2</v>
      </c>
      <c r="AL192" t="s">
        <v>59</v>
      </c>
      <c r="AM192">
        <v>0</v>
      </c>
      <c r="AN192" t="s">
        <v>59</v>
      </c>
      <c r="AO192">
        <v>0</v>
      </c>
      <c r="AP192" t="s">
        <v>59</v>
      </c>
      <c r="AQ192">
        <v>0</v>
      </c>
      <c r="AR192" t="s">
        <v>59</v>
      </c>
      <c r="AS192">
        <v>0</v>
      </c>
      <c r="AT192" t="s">
        <v>60</v>
      </c>
      <c r="AU192">
        <v>1</v>
      </c>
      <c r="AV192">
        <f t="shared" si="2"/>
        <v>13</v>
      </c>
      <c r="AW192" t="str">
        <f>IF(Table1[[#This Row],[Pontuação final]]&lt;=2,"Nenhum", IF(Table1[[#This Row],[Pontuação final]]&lt;=12,"Leve", IF(Table1[[#This Row],[Pontuação final]]&lt;=22,"Moderado", "Grave")))</f>
        <v>Moderado</v>
      </c>
    </row>
    <row r="193" spans="1:49" x14ac:dyDescent="0.3">
      <c r="A193">
        <v>193</v>
      </c>
      <c r="B193" t="s">
        <v>66</v>
      </c>
      <c r="C193" s="1">
        <v>18</v>
      </c>
      <c r="D193" s="1">
        <v>50</v>
      </c>
      <c r="E193">
        <v>1.54</v>
      </c>
      <c r="F193" t="s">
        <v>50</v>
      </c>
      <c r="G193" t="s">
        <v>51</v>
      </c>
      <c r="H193" t="s">
        <v>52</v>
      </c>
      <c r="I193" t="s">
        <v>62</v>
      </c>
      <c r="K193" t="s">
        <v>70</v>
      </c>
      <c r="L193" t="s">
        <v>55</v>
      </c>
      <c r="M193" t="s">
        <v>64</v>
      </c>
      <c r="O193" t="s">
        <v>82</v>
      </c>
      <c r="P193" t="s">
        <v>58</v>
      </c>
      <c r="Q193">
        <v>2</v>
      </c>
      <c r="R193" t="s">
        <v>60</v>
      </c>
      <c r="S193">
        <v>1</v>
      </c>
      <c r="T193" t="s">
        <v>59</v>
      </c>
      <c r="U193">
        <v>0</v>
      </c>
      <c r="V193" t="s">
        <v>58</v>
      </c>
      <c r="W193">
        <v>2</v>
      </c>
      <c r="X193" t="s">
        <v>58</v>
      </c>
      <c r="Y193">
        <v>2</v>
      </c>
      <c r="Z193" t="s">
        <v>59</v>
      </c>
      <c r="AA193">
        <v>0</v>
      </c>
      <c r="AB193" t="s">
        <v>59</v>
      </c>
      <c r="AC193">
        <v>0</v>
      </c>
      <c r="AD193" t="s">
        <v>60</v>
      </c>
      <c r="AE193">
        <v>1</v>
      </c>
      <c r="AF193" t="s">
        <v>60</v>
      </c>
      <c r="AG193">
        <v>1</v>
      </c>
      <c r="AH193" t="s">
        <v>59</v>
      </c>
      <c r="AI193">
        <v>0</v>
      </c>
      <c r="AJ193" t="s">
        <v>59</v>
      </c>
      <c r="AK193">
        <v>0</v>
      </c>
      <c r="AL193" t="s">
        <v>58</v>
      </c>
      <c r="AM193">
        <v>2</v>
      </c>
      <c r="AN193" t="s">
        <v>59</v>
      </c>
      <c r="AO193">
        <v>0</v>
      </c>
      <c r="AP193" t="s">
        <v>59</v>
      </c>
      <c r="AQ193">
        <v>0</v>
      </c>
      <c r="AR193" t="s">
        <v>59</v>
      </c>
      <c r="AS193">
        <v>0</v>
      </c>
      <c r="AT193" t="s">
        <v>60</v>
      </c>
      <c r="AU193">
        <v>1</v>
      </c>
      <c r="AV193">
        <f t="shared" si="2"/>
        <v>12</v>
      </c>
      <c r="AW193" t="str">
        <f>IF(Table1[[#This Row],[Pontuação final]]&lt;=2,"Nenhum", IF(Table1[[#This Row],[Pontuação final]]&lt;=12,"Leve", IF(Table1[[#This Row],[Pontuação final]]&lt;=22,"Moderado", "Grave")))</f>
        <v>Leve</v>
      </c>
    </row>
    <row r="194" spans="1:49" x14ac:dyDescent="0.3">
      <c r="A194">
        <v>194</v>
      </c>
      <c r="B194" t="s">
        <v>66</v>
      </c>
      <c r="C194" s="1">
        <v>23</v>
      </c>
      <c r="D194">
        <v>56</v>
      </c>
      <c r="E194" s="1">
        <v>1.6</v>
      </c>
      <c r="F194" t="s">
        <v>61</v>
      </c>
      <c r="G194" t="s">
        <v>90</v>
      </c>
      <c r="H194" t="s">
        <v>68</v>
      </c>
      <c r="I194" t="s">
        <v>72</v>
      </c>
      <c r="K194" t="s">
        <v>70</v>
      </c>
      <c r="L194" t="s">
        <v>55</v>
      </c>
      <c r="M194" t="s">
        <v>64</v>
      </c>
      <c r="O194" t="s">
        <v>57</v>
      </c>
      <c r="P194" t="s">
        <v>58</v>
      </c>
      <c r="Q194">
        <v>2</v>
      </c>
      <c r="R194" t="s">
        <v>59</v>
      </c>
      <c r="S194">
        <v>0</v>
      </c>
      <c r="T194" t="s">
        <v>59</v>
      </c>
      <c r="U194">
        <v>0</v>
      </c>
      <c r="V194" t="s">
        <v>58</v>
      </c>
      <c r="W194">
        <v>2</v>
      </c>
      <c r="X194" t="s">
        <v>59</v>
      </c>
      <c r="Y194">
        <v>0</v>
      </c>
      <c r="Z194" t="s">
        <v>59</v>
      </c>
      <c r="AA194">
        <v>0</v>
      </c>
      <c r="AB194" t="s">
        <v>59</v>
      </c>
      <c r="AC194">
        <v>0</v>
      </c>
      <c r="AD194" t="s">
        <v>58</v>
      </c>
      <c r="AE194">
        <v>2</v>
      </c>
      <c r="AF194" t="s">
        <v>60</v>
      </c>
      <c r="AG194">
        <v>1</v>
      </c>
      <c r="AH194" t="s">
        <v>60</v>
      </c>
      <c r="AI194">
        <v>1</v>
      </c>
      <c r="AJ194" t="s">
        <v>58</v>
      </c>
      <c r="AK194">
        <v>2</v>
      </c>
      <c r="AL194" t="s">
        <v>60</v>
      </c>
      <c r="AM194">
        <v>1</v>
      </c>
      <c r="AN194" t="s">
        <v>60</v>
      </c>
      <c r="AO194">
        <v>1</v>
      </c>
      <c r="AP194" t="s">
        <v>59</v>
      </c>
      <c r="AQ194">
        <v>0</v>
      </c>
      <c r="AR194" t="s">
        <v>60</v>
      </c>
      <c r="AS194">
        <v>1</v>
      </c>
      <c r="AT194" t="s">
        <v>60</v>
      </c>
      <c r="AU194">
        <v>1</v>
      </c>
      <c r="AV194">
        <f t="shared" ref="AV194:AV225" si="3">SUM(Q194,S194,U194,W194,Y194,AA194,AC194,AE194,AG194,AI194,AK194,AM194,AO194,AQ194,AS194,AU194)</f>
        <v>14</v>
      </c>
      <c r="AW194" t="str">
        <f>IF(Table1[[#This Row],[Pontuação final]]&lt;=2,"Nenhum", IF(Table1[[#This Row],[Pontuação final]]&lt;=12,"Leve", IF(Table1[[#This Row],[Pontuação final]]&lt;=22,"Moderado", "Grave")))</f>
        <v>Moderado</v>
      </c>
    </row>
    <row r="195" spans="1:49" x14ac:dyDescent="0.3">
      <c r="A195">
        <v>195</v>
      </c>
      <c r="B195" t="s">
        <v>66</v>
      </c>
      <c r="C195" s="1">
        <v>21</v>
      </c>
      <c r="D195" s="1">
        <v>58</v>
      </c>
      <c r="E195">
        <v>1.6</v>
      </c>
      <c r="F195" t="s">
        <v>50</v>
      </c>
      <c r="G195" t="s">
        <v>90</v>
      </c>
      <c r="H195" t="s">
        <v>52</v>
      </c>
      <c r="I195" t="s">
        <v>81</v>
      </c>
      <c r="K195" t="s">
        <v>91</v>
      </c>
      <c r="L195" t="s">
        <v>55</v>
      </c>
      <c r="M195" t="s">
        <v>75</v>
      </c>
      <c r="O195" t="s">
        <v>57</v>
      </c>
      <c r="P195" t="s">
        <v>60</v>
      </c>
      <c r="Q195">
        <v>1</v>
      </c>
      <c r="R195" t="s">
        <v>58</v>
      </c>
      <c r="S195">
        <v>2</v>
      </c>
      <c r="T195" t="s">
        <v>58</v>
      </c>
      <c r="U195">
        <v>2</v>
      </c>
      <c r="V195" t="s">
        <v>60</v>
      </c>
      <c r="W195">
        <v>1</v>
      </c>
      <c r="X195" t="s">
        <v>60</v>
      </c>
      <c r="Y195">
        <v>1</v>
      </c>
      <c r="Z195" t="s">
        <v>60</v>
      </c>
      <c r="AA195">
        <v>1</v>
      </c>
      <c r="AB195" t="s">
        <v>60</v>
      </c>
      <c r="AC195">
        <v>1</v>
      </c>
      <c r="AD195" t="s">
        <v>60</v>
      </c>
      <c r="AE195">
        <v>1</v>
      </c>
      <c r="AF195" t="s">
        <v>60</v>
      </c>
      <c r="AG195">
        <v>1</v>
      </c>
      <c r="AH195" t="s">
        <v>58</v>
      </c>
      <c r="AI195">
        <v>2</v>
      </c>
      <c r="AJ195" t="s">
        <v>58</v>
      </c>
      <c r="AK195">
        <v>2</v>
      </c>
      <c r="AL195" t="s">
        <v>58</v>
      </c>
      <c r="AM195">
        <v>2</v>
      </c>
      <c r="AN195" t="s">
        <v>60</v>
      </c>
      <c r="AO195">
        <v>1</v>
      </c>
      <c r="AP195" t="s">
        <v>60</v>
      </c>
      <c r="AQ195">
        <v>1</v>
      </c>
      <c r="AR195" t="s">
        <v>59</v>
      </c>
      <c r="AS195">
        <v>0</v>
      </c>
      <c r="AT195" t="s">
        <v>60</v>
      </c>
      <c r="AU195">
        <v>1</v>
      </c>
      <c r="AV195">
        <f t="shared" si="3"/>
        <v>20</v>
      </c>
      <c r="AW195" t="str">
        <f>IF(Table1[[#This Row],[Pontuação final]]&lt;=2,"Nenhum", IF(Table1[[#This Row],[Pontuação final]]&lt;=12,"Leve", IF(Table1[[#This Row],[Pontuação final]]&lt;=22,"Moderado", "Grave")))</f>
        <v>Moderado</v>
      </c>
    </row>
    <row r="196" spans="1:49" x14ac:dyDescent="0.3">
      <c r="A196">
        <v>196</v>
      </c>
      <c r="B196" t="s">
        <v>49</v>
      </c>
      <c r="C196" s="1">
        <v>17</v>
      </c>
      <c r="D196" s="1">
        <v>100</v>
      </c>
      <c r="E196" s="1">
        <v>1.73</v>
      </c>
      <c r="F196" t="s">
        <v>111</v>
      </c>
      <c r="G196" t="s">
        <v>79</v>
      </c>
      <c r="H196" t="s">
        <v>52</v>
      </c>
      <c r="I196" t="s">
        <v>62</v>
      </c>
      <c r="K196" t="s">
        <v>220</v>
      </c>
      <c r="L196" t="s">
        <v>55</v>
      </c>
      <c r="M196" t="s">
        <v>92</v>
      </c>
      <c r="N196" t="s">
        <v>226</v>
      </c>
      <c r="O196" t="s">
        <v>57</v>
      </c>
      <c r="P196" t="s">
        <v>60</v>
      </c>
      <c r="Q196">
        <v>1</v>
      </c>
      <c r="R196" t="s">
        <v>59</v>
      </c>
      <c r="S196">
        <v>0</v>
      </c>
      <c r="T196" t="s">
        <v>59</v>
      </c>
      <c r="U196">
        <v>0</v>
      </c>
      <c r="V196" t="s">
        <v>58</v>
      </c>
      <c r="W196">
        <v>2</v>
      </c>
      <c r="X196" t="s">
        <v>60</v>
      </c>
      <c r="Y196">
        <v>1</v>
      </c>
      <c r="Z196" t="s">
        <v>59</v>
      </c>
      <c r="AA196">
        <v>0</v>
      </c>
      <c r="AB196" t="s">
        <v>59</v>
      </c>
      <c r="AC196">
        <v>0</v>
      </c>
      <c r="AD196" t="s">
        <v>59</v>
      </c>
      <c r="AE196">
        <v>0</v>
      </c>
      <c r="AF196" t="s">
        <v>60</v>
      </c>
      <c r="AG196">
        <v>1</v>
      </c>
      <c r="AH196" t="s">
        <v>60</v>
      </c>
      <c r="AI196">
        <v>1</v>
      </c>
      <c r="AJ196" t="s">
        <v>60</v>
      </c>
      <c r="AK196">
        <v>1</v>
      </c>
      <c r="AL196" t="s">
        <v>59</v>
      </c>
      <c r="AM196">
        <v>0</v>
      </c>
      <c r="AN196" t="s">
        <v>59</v>
      </c>
      <c r="AO196">
        <v>0</v>
      </c>
      <c r="AP196" t="s">
        <v>59</v>
      </c>
      <c r="AQ196">
        <v>0</v>
      </c>
      <c r="AR196" t="s">
        <v>59</v>
      </c>
      <c r="AS196">
        <v>0</v>
      </c>
      <c r="AT196" t="s">
        <v>60</v>
      </c>
      <c r="AU196">
        <v>1</v>
      </c>
      <c r="AV196">
        <f t="shared" si="3"/>
        <v>8</v>
      </c>
      <c r="AW196" t="str">
        <f>IF(Table1[[#This Row],[Pontuação final]]&lt;=2,"Nenhum", IF(Table1[[#This Row],[Pontuação final]]&lt;=12,"Leve", IF(Table1[[#This Row],[Pontuação final]]&lt;=22,"Moderado", "Grave")))</f>
        <v>Leve</v>
      </c>
    </row>
    <row r="197" spans="1:49" x14ac:dyDescent="0.3">
      <c r="A197">
        <v>197</v>
      </c>
      <c r="B197" t="s">
        <v>49</v>
      </c>
      <c r="C197" s="1">
        <v>39</v>
      </c>
      <c r="D197" s="1">
        <v>85</v>
      </c>
      <c r="E197" s="1">
        <v>1.66</v>
      </c>
      <c r="F197" t="s">
        <v>61</v>
      </c>
      <c r="G197" t="s">
        <v>77</v>
      </c>
      <c r="H197" t="s">
        <v>68</v>
      </c>
      <c r="I197" t="s">
        <v>72</v>
      </c>
      <c r="K197" t="s">
        <v>227</v>
      </c>
      <c r="L197" t="s">
        <v>74</v>
      </c>
      <c r="M197" t="s">
        <v>64</v>
      </c>
      <c r="O197" t="s">
        <v>82</v>
      </c>
      <c r="P197" t="s">
        <v>60</v>
      </c>
      <c r="Q197">
        <v>1</v>
      </c>
      <c r="R197" t="s">
        <v>59</v>
      </c>
      <c r="S197">
        <v>0</v>
      </c>
      <c r="T197" t="s">
        <v>59</v>
      </c>
      <c r="U197">
        <v>0</v>
      </c>
      <c r="V197" t="s">
        <v>60</v>
      </c>
      <c r="W197">
        <v>1</v>
      </c>
      <c r="X197" t="s">
        <v>59</v>
      </c>
      <c r="Y197">
        <v>0</v>
      </c>
      <c r="Z197" t="s">
        <v>59</v>
      </c>
      <c r="AA197">
        <v>0</v>
      </c>
      <c r="AB197" t="s">
        <v>59</v>
      </c>
      <c r="AC197">
        <v>0</v>
      </c>
      <c r="AD197" t="s">
        <v>59</v>
      </c>
      <c r="AE197">
        <v>0</v>
      </c>
      <c r="AF197" t="s">
        <v>60</v>
      </c>
      <c r="AG197">
        <v>1</v>
      </c>
      <c r="AH197" t="s">
        <v>59</v>
      </c>
      <c r="AI197">
        <v>0</v>
      </c>
      <c r="AJ197" t="s">
        <v>59</v>
      </c>
      <c r="AK197">
        <v>0</v>
      </c>
      <c r="AL197" t="s">
        <v>59</v>
      </c>
      <c r="AM197">
        <v>0</v>
      </c>
      <c r="AN197" t="s">
        <v>59</v>
      </c>
      <c r="AO197">
        <v>0</v>
      </c>
      <c r="AP197" t="s">
        <v>59</v>
      </c>
      <c r="AQ197">
        <v>0</v>
      </c>
      <c r="AR197" t="s">
        <v>59</v>
      </c>
      <c r="AS197">
        <v>0</v>
      </c>
      <c r="AT197" t="s">
        <v>60</v>
      </c>
      <c r="AU197">
        <v>1</v>
      </c>
      <c r="AV197">
        <f t="shared" si="3"/>
        <v>4</v>
      </c>
      <c r="AW197" t="str">
        <f>IF(Table1[[#This Row],[Pontuação final]]&lt;=2,"Nenhum", IF(Table1[[#This Row],[Pontuação final]]&lt;=12,"Leve", IF(Table1[[#This Row],[Pontuação final]]&lt;=22,"Moderado", "Grave")))</f>
        <v>Leve</v>
      </c>
    </row>
    <row r="198" spans="1:49" x14ac:dyDescent="0.3">
      <c r="A198">
        <v>198</v>
      </c>
      <c r="B198" t="s">
        <v>66</v>
      </c>
      <c r="C198" s="1">
        <v>17</v>
      </c>
      <c r="D198">
        <v>62</v>
      </c>
      <c r="E198">
        <v>1.75</v>
      </c>
      <c r="F198" t="s">
        <v>61</v>
      </c>
      <c r="G198" t="s">
        <v>79</v>
      </c>
      <c r="H198" t="s">
        <v>52</v>
      </c>
      <c r="I198" t="s">
        <v>62</v>
      </c>
      <c r="K198" t="s">
        <v>228</v>
      </c>
      <c r="L198" t="s">
        <v>55</v>
      </c>
      <c r="M198" t="s">
        <v>56</v>
      </c>
      <c r="O198" t="s">
        <v>65</v>
      </c>
      <c r="P198" t="s">
        <v>60</v>
      </c>
      <c r="Q198">
        <v>1</v>
      </c>
      <c r="R198" t="s">
        <v>60</v>
      </c>
      <c r="S198">
        <v>1</v>
      </c>
      <c r="T198" t="s">
        <v>60</v>
      </c>
      <c r="U198">
        <v>1</v>
      </c>
      <c r="V198" t="s">
        <v>60</v>
      </c>
      <c r="W198">
        <v>1</v>
      </c>
      <c r="X198" t="s">
        <v>59</v>
      </c>
      <c r="Y198">
        <v>0</v>
      </c>
      <c r="Z198" t="s">
        <v>59</v>
      </c>
      <c r="AA198">
        <v>0</v>
      </c>
      <c r="AB198" t="s">
        <v>59</v>
      </c>
      <c r="AC198">
        <v>0</v>
      </c>
      <c r="AD198" t="s">
        <v>60</v>
      </c>
      <c r="AE198">
        <v>1</v>
      </c>
      <c r="AF198" t="s">
        <v>60</v>
      </c>
      <c r="AG198">
        <v>1</v>
      </c>
      <c r="AH198" t="s">
        <v>60</v>
      </c>
      <c r="AI198">
        <v>1</v>
      </c>
      <c r="AJ198" t="s">
        <v>60</v>
      </c>
      <c r="AK198">
        <v>1</v>
      </c>
      <c r="AL198" t="s">
        <v>60</v>
      </c>
      <c r="AM198">
        <v>1</v>
      </c>
      <c r="AN198" t="s">
        <v>60</v>
      </c>
      <c r="AO198">
        <v>1</v>
      </c>
      <c r="AP198" t="s">
        <v>60</v>
      </c>
      <c r="AQ198">
        <v>1</v>
      </c>
      <c r="AR198" t="s">
        <v>59</v>
      </c>
      <c r="AS198">
        <v>0</v>
      </c>
      <c r="AT198" t="s">
        <v>58</v>
      </c>
      <c r="AU198">
        <v>2</v>
      </c>
      <c r="AV198">
        <f t="shared" si="3"/>
        <v>13</v>
      </c>
      <c r="AW198" t="str">
        <f>IF(Table1[[#This Row],[Pontuação final]]&lt;=2,"Nenhum", IF(Table1[[#This Row],[Pontuação final]]&lt;=12,"Leve", IF(Table1[[#This Row],[Pontuação final]]&lt;=22,"Moderado", "Grave")))</f>
        <v>Moderado</v>
      </c>
    </row>
    <row r="199" spans="1:49" x14ac:dyDescent="0.3">
      <c r="A199">
        <v>199</v>
      </c>
      <c r="B199" t="s">
        <v>49</v>
      </c>
      <c r="C199" s="1">
        <v>24</v>
      </c>
      <c r="D199" s="1">
        <v>98</v>
      </c>
      <c r="E199">
        <v>1.71</v>
      </c>
      <c r="F199" t="s">
        <v>61</v>
      </c>
      <c r="G199" t="s">
        <v>105</v>
      </c>
      <c r="H199" t="s">
        <v>52</v>
      </c>
      <c r="I199" t="s">
        <v>80</v>
      </c>
      <c r="K199" t="s">
        <v>63</v>
      </c>
      <c r="L199" t="s">
        <v>55</v>
      </c>
      <c r="M199" t="s">
        <v>75</v>
      </c>
      <c r="O199" t="s">
        <v>82</v>
      </c>
      <c r="P199" t="s">
        <v>60</v>
      </c>
      <c r="Q199">
        <v>1</v>
      </c>
      <c r="R199" t="s">
        <v>60</v>
      </c>
      <c r="S199">
        <v>1</v>
      </c>
      <c r="T199" t="s">
        <v>59</v>
      </c>
      <c r="U199">
        <v>0</v>
      </c>
      <c r="V199" t="s">
        <v>58</v>
      </c>
      <c r="W199">
        <v>2</v>
      </c>
      <c r="X199" t="s">
        <v>60</v>
      </c>
      <c r="Y199">
        <v>1</v>
      </c>
      <c r="Z199" t="s">
        <v>59</v>
      </c>
      <c r="AA199">
        <v>0</v>
      </c>
      <c r="AB199" t="s">
        <v>58</v>
      </c>
      <c r="AC199">
        <v>2</v>
      </c>
      <c r="AD199" t="s">
        <v>59</v>
      </c>
      <c r="AE199">
        <v>0</v>
      </c>
      <c r="AF199" t="s">
        <v>60</v>
      </c>
      <c r="AG199">
        <v>1</v>
      </c>
      <c r="AH199" t="s">
        <v>58</v>
      </c>
      <c r="AI199">
        <v>2</v>
      </c>
      <c r="AJ199" t="s">
        <v>58</v>
      </c>
      <c r="AK199">
        <v>2</v>
      </c>
      <c r="AL199" t="s">
        <v>58</v>
      </c>
      <c r="AM199">
        <v>2</v>
      </c>
      <c r="AN199" t="s">
        <v>60</v>
      </c>
      <c r="AO199">
        <v>1</v>
      </c>
      <c r="AP199" t="s">
        <v>59</v>
      </c>
      <c r="AQ199">
        <v>0</v>
      </c>
      <c r="AR199" t="s">
        <v>59</v>
      </c>
      <c r="AS199">
        <v>0</v>
      </c>
      <c r="AT199" t="s">
        <v>58</v>
      </c>
      <c r="AU199">
        <v>2</v>
      </c>
      <c r="AV199">
        <f t="shared" si="3"/>
        <v>17</v>
      </c>
      <c r="AW199" t="str">
        <f>IF(Table1[[#This Row],[Pontuação final]]&lt;=2,"Nenhum", IF(Table1[[#This Row],[Pontuação final]]&lt;=12,"Leve", IF(Table1[[#This Row],[Pontuação final]]&lt;=22,"Moderado", "Grave")))</f>
        <v>Moderado</v>
      </c>
    </row>
    <row r="200" spans="1:49" x14ac:dyDescent="0.3">
      <c r="A200">
        <v>200</v>
      </c>
      <c r="B200" t="s">
        <v>66</v>
      </c>
      <c r="C200" s="1">
        <v>19</v>
      </c>
      <c r="D200" s="1">
        <v>45</v>
      </c>
      <c r="E200">
        <v>1.61</v>
      </c>
      <c r="F200" t="s">
        <v>76</v>
      </c>
      <c r="G200" t="s">
        <v>77</v>
      </c>
      <c r="H200" t="s">
        <v>68</v>
      </c>
      <c r="I200" t="s">
        <v>72</v>
      </c>
      <c r="K200" t="s">
        <v>70</v>
      </c>
      <c r="L200" t="s">
        <v>55</v>
      </c>
      <c r="M200" t="s">
        <v>64</v>
      </c>
      <c r="O200" t="s">
        <v>65</v>
      </c>
      <c r="P200" t="s">
        <v>58</v>
      </c>
      <c r="Q200">
        <v>2</v>
      </c>
      <c r="R200" t="s">
        <v>59</v>
      </c>
      <c r="S200">
        <v>0</v>
      </c>
      <c r="T200" t="s">
        <v>59</v>
      </c>
      <c r="U200">
        <v>0</v>
      </c>
      <c r="V200" t="s">
        <v>58</v>
      </c>
      <c r="W200">
        <v>2</v>
      </c>
      <c r="X200" t="s">
        <v>60</v>
      </c>
      <c r="Y200">
        <v>1</v>
      </c>
      <c r="Z200" t="s">
        <v>60</v>
      </c>
      <c r="AA200">
        <v>1</v>
      </c>
      <c r="AB200" t="s">
        <v>59</v>
      </c>
      <c r="AC200">
        <v>0</v>
      </c>
      <c r="AD200" t="s">
        <v>59</v>
      </c>
      <c r="AE200">
        <v>0</v>
      </c>
      <c r="AF200" t="s">
        <v>60</v>
      </c>
      <c r="AG200">
        <v>1</v>
      </c>
      <c r="AH200" t="s">
        <v>60</v>
      </c>
      <c r="AI200">
        <v>1</v>
      </c>
      <c r="AJ200" t="s">
        <v>60</v>
      </c>
      <c r="AK200">
        <v>1</v>
      </c>
      <c r="AL200" t="s">
        <v>58</v>
      </c>
      <c r="AM200">
        <v>2</v>
      </c>
      <c r="AN200" t="s">
        <v>60</v>
      </c>
      <c r="AO200">
        <v>1</v>
      </c>
      <c r="AP200" t="s">
        <v>60</v>
      </c>
      <c r="AQ200">
        <v>1</v>
      </c>
      <c r="AR200" t="s">
        <v>60</v>
      </c>
      <c r="AS200">
        <v>1</v>
      </c>
      <c r="AT200" t="s">
        <v>58</v>
      </c>
      <c r="AU200">
        <v>2</v>
      </c>
      <c r="AV200">
        <f t="shared" si="3"/>
        <v>16</v>
      </c>
      <c r="AW200" t="str">
        <f>IF(Table1[[#This Row],[Pontuação final]]&lt;=2,"Nenhum", IF(Table1[[#This Row],[Pontuação final]]&lt;=12,"Leve", IF(Table1[[#This Row],[Pontuação final]]&lt;=22,"Moderado", "Grave")))</f>
        <v>Moderado</v>
      </c>
    </row>
    <row r="201" spans="1:49" x14ac:dyDescent="0.3">
      <c r="A201">
        <v>201</v>
      </c>
      <c r="B201" t="s">
        <v>49</v>
      </c>
      <c r="C201" s="1">
        <v>26</v>
      </c>
      <c r="D201" s="1">
        <v>86</v>
      </c>
      <c r="E201">
        <v>1.78</v>
      </c>
      <c r="F201" t="s">
        <v>76</v>
      </c>
      <c r="G201" t="s">
        <v>67</v>
      </c>
      <c r="H201" t="s">
        <v>52</v>
      </c>
      <c r="I201" t="s">
        <v>80</v>
      </c>
      <c r="K201" t="s">
        <v>229</v>
      </c>
      <c r="L201" t="s">
        <v>109</v>
      </c>
      <c r="M201" t="s">
        <v>75</v>
      </c>
      <c r="O201" t="s">
        <v>57</v>
      </c>
      <c r="P201" t="s">
        <v>60</v>
      </c>
      <c r="Q201">
        <v>1</v>
      </c>
      <c r="R201" t="s">
        <v>60</v>
      </c>
      <c r="S201">
        <v>1</v>
      </c>
      <c r="T201" t="s">
        <v>59</v>
      </c>
      <c r="U201">
        <v>0</v>
      </c>
      <c r="V201" t="s">
        <v>58</v>
      </c>
      <c r="W201">
        <v>2</v>
      </c>
      <c r="X201" t="s">
        <v>58</v>
      </c>
      <c r="Y201">
        <v>2</v>
      </c>
      <c r="Z201" t="s">
        <v>60</v>
      </c>
      <c r="AA201">
        <v>1</v>
      </c>
      <c r="AB201" t="s">
        <v>60</v>
      </c>
      <c r="AC201">
        <v>1</v>
      </c>
      <c r="AD201" t="s">
        <v>59</v>
      </c>
      <c r="AE201">
        <v>0</v>
      </c>
      <c r="AF201" t="s">
        <v>60</v>
      </c>
      <c r="AG201">
        <v>1</v>
      </c>
      <c r="AH201" t="s">
        <v>60</v>
      </c>
      <c r="AI201">
        <v>1</v>
      </c>
      <c r="AJ201" t="s">
        <v>60</v>
      </c>
      <c r="AK201">
        <v>1</v>
      </c>
      <c r="AL201" t="s">
        <v>59</v>
      </c>
      <c r="AM201">
        <v>0</v>
      </c>
      <c r="AN201" t="s">
        <v>59</v>
      </c>
      <c r="AO201">
        <v>0</v>
      </c>
      <c r="AP201" t="s">
        <v>60</v>
      </c>
      <c r="AQ201">
        <v>1</v>
      </c>
      <c r="AR201" t="s">
        <v>59</v>
      </c>
      <c r="AS201">
        <v>0</v>
      </c>
      <c r="AT201" t="s">
        <v>60</v>
      </c>
      <c r="AU201">
        <v>1</v>
      </c>
      <c r="AV201">
        <f t="shared" si="3"/>
        <v>13</v>
      </c>
      <c r="AW201" t="str">
        <f>IF(Table1[[#This Row],[Pontuação final]]&lt;=2,"Nenhum", IF(Table1[[#This Row],[Pontuação final]]&lt;=12,"Leve", IF(Table1[[#This Row],[Pontuação final]]&lt;=22,"Moderado", "Grave")))</f>
        <v>Moderado</v>
      </c>
    </row>
    <row r="202" spans="1:49" x14ac:dyDescent="0.3">
      <c r="A202">
        <v>202</v>
      </c>
      <c r="B202" t="s">
        <v>49</v>
      </c>
      <c r="C202" s="1">
        <v>21</v>
      </c>
      <c r="D202" s="1">
        <v>58</v>
      </c>
      <c r="E202" s="1">
        <v>1.8</v>
      </c>
      <c r="F202" t="s">
        <v>104</v>
      </c>
      <c r="G202" t="s">
        <v>67</v>
      </c>
      <c r="H202" t="s">
        <v>68</v>
      </c>
      <c r="I202" t="s">
        <v>198</v>
      </c>
      <c r="J202" t="s">
        <v>230</v>
      </c>
      <c r="K202" t="s">
        <v>63</v>
      </c>
      <c r="L202" t="s">
        <v>55</v>
      </c>
      <c r="M202" t="s">
        <v>64</v>
      </c>
      <c r="O202" t="s">
        <v>57</v>
      </c>
      <c r="P202" t="s">
        <v>60</v>
      </c>
      <c r="Q202">
        <v>1</v>
      </c>
      <c r="R202" t="s">
        <v>58</v>
      </c>
      <c r="S202">
        <v>2</v>
      </c>
      <c r="T202" t="s">
        <v>59</v>
      </c>
      <c r="U202">
        <v>0</v>
      </c>
      <c r="V202" t="s">
        <v>58</v>
      </c>
      <c r="W202">
        <v>2</v>
      </c>
      <c r="X202" t="s">
        <v>58</v>
      </c>
      <c r="Y202">
        <v>2</v>
      </c>
      <c r="Z202" t="s">
        <v>59</v>
      </c>
      <c r="AA202">
        <v>0</v>
      </c>
      <c r="AB202" t="s">
        <v>60</v>
      </c>
      <c r="AC202">
        <v>1</v>
      </c>
      <c r="AD202" t="s">
        <v>60</v>
      </c>
      <c r="AE202">
        <v>1</v>
      </c>
      <c r="AF202" t="s">
        <v>58</v>
      </c>
      <c r="AG202">
        <v>2</v>
      </c>
      <c r="AH202" t="s">
        <v>60</v>
      </c>
      <c r="AI202">
        <v>1</v>
      </c>
      <c r="AJ202" t="s">
        <v>58</v>
      </c>
      <c r="AK202">
        <v>2</v>
      </c>
      <c r="AL202" t="s">
        <v>58</v>
      </c>
      <c r="AM202">
        <v>2</v>
      </c>
      <c r="AN202" t="s">
        <v>58</v>
      </c>
      <c r="AO202">
        <v>2</v>
      </c>
      <c r="AP202" t="s">
        <v>59</v>
      </c>
      <c r="AQ202">
        <v>0</v>
      </c>
      <c r="AR202" t="s">
        <v>60</v>
      </c>
      <c r="AS202">
        <v>1</v>
      </c>
      <c r="AT202" t="s">
        <v>58</v>
      </c>
      <c r="AU202">
        <v>2</v>
      </c>
      <c r="AV202">
        <f t="shared" si="3"/>
        <v>21</v>
      </c>
      <c r="AW202" t="str">
        <f>IF(Table1[[#This Row],[Pontuação final]]&lt;=2,"Nenhum", IF(Table1[[#This Row],[Pontuação final]]&lt;=12,"Leve", IF(Table1[[#This Row],[Pontuação final]]&lt;=22,"Moderado", "Grave")))</f>
        <v>Moderado</v>
      </c>
    </row>
    <row r="203" spans="1:49" x14ac:dyDescent="0.3">
      <c r="A203">
        <v>203</v>
      </c>
      <c r="B203" t="s">
        <v>49</v>
      </c>
      <c r="C203" s="1">
        <v>19</v>
      </c>
      <c r="D203" s="1">
        <v>100</v>
      </c>
      <c r="E203">
        <v>1.89</v>
      </c>
      <c r="F203" t="s">
        <v>76</v>
      </c>
      <c r="G203" t="s">
        <v>51</v>
      </c>
      <c r="H203" t="s">
        <v>52</v>
      </c>
      <c r="I203" t="s">
        <v>62</v>
      </c>
      <c r="K203" t="s">
        <v>54</v>
      </c>
      <c r="L203" t="s">
        <v>55</v>
      </c>
      <c r="M203" t="s">
        <v>64</v>
      </c>
      <c r="O203" t="s">
        <v>57</v>
      </c>
      <c r="P203" t="s">
        <v>60</v>
      </c>
      <c r="Q203">
        <v>1</v>
      </c>
      <c r="R203" t="s">
        <v>59</v>
      </c>
      <c r="S203">
        <v>0</v>
      </c>
      <c r="T203" t="s">
        <v>59</v>
      </c>
      <c r="U203">
        <v>0</v>
      </c>
      <c r="V203" t="s">
        <v>58</v>
      </c>
      <c r="W203">
        <v>2</v>
      </c>
      <c r="X203" t="s">
        <v>59</v>
      </c>
      <c r="Y203">
        <v>0</v>
      </c>
      <c r="Z203" t="s">
        <v>59</v>
      </c>
      <c r="AA203">
        <v>0</v>
      </c>
      <c r="AB203" t="s">
        <v>59</v>
      </c>
      <c r="AC203">
        <v>0</v>
      </c>
      <c r="AD203" t="s">
        <v>59</v>
      </c>
      <c r="AE203">
        <v>0</v>
      </c>
      <c r="AF203" t="s">
        <v>60</v>
      </c>
      <c r="AG203">
        <v>1</v>
      </c>
      <c r="AH203" t="s">
        <v>59</v>
      </c>
      <c r="AI203">
        <v>0</v>
      </c>
      <c r="AJ203" t="s">
        <v>59</v>
      </c>
      <c r="AK203">
        <v>0</v>
      </c>
      <c r="AL203" t="s">
        <v>59</v>
      </c>
      <c r="AM203">
        <v>0</v>
      </c>
      <c r="AN203" t="s">
        <v>59</v>
      </c>
      <c r="AO203">
        <v>0</v>
      </c>
      <c r="AP203" t="s">
        <v>59</v>
      </c>
      <c r="AQ203">
        <v>0</v>
      </c>
      <c r="AR203" t="s">
        <v>59</v>
      </c>
      <c r="AS203">
        <v>0</v>
      </c>
      <c r="AT203" t="s">
        <v>60</v>
      </c>
      <c r="AU203">
        <v>1</v>
      </c>
      <c r="AV203">
        <f t="shared" si="3"/>
        <v>5</v>
      </c>
      <c r="AW203" t="str">
        <f>IF(Table1[[#This Row],[Pontuação final]]&lt;=2,"Nenhum", IF(Table1[[#This Row],[Pontuação final]]&lt;=12,"Leve", IF(Table1[[#This Row],[Pontuação final]]&lt;=22,"Moderado", "Grave")))</f>
        <v>Leve</v>
      </c>
    </row>
    <row r="204" spans="1:49" x14ac:dyDescent="0.3">
      <c r="A204">
        <v>204</v>
      </c>
      <c r="B204" t="s">
        <v>49</v>
      </c>
      <c r="C204" s="1">
        <v>22</v>
      </c>
      <c r="D204" s="1">
        <v>80</v>
      </c>
      <c r="E204" s="1">
        <v>1.68</v>
      </c>
      <c r="F204" t="s">
        <v>61</v>
      </c>
      <c r="G204" t="s">
        <v>71</v>
      </c>
      <c r="H204" t="s">
        <v>68</v>
      </c>
      <c r="I204" t="s">
        <v>81</v>
      </c>
      <c r="K204" t="s">
        <v>70</v>
      </c>
      <c r="L204" t="s">
        <v>55</v>
      </c>
      <c r="M204" t="s">
        <v>75</v>
      </c>
      <c r="O204" t="s">
        <v>82</v>
      </c>
      <c r="P204" t="s">
        <v>60</v>
      </c>
      <c r="Q204">
        <v>1</v>
      </c>
      <c r="R204" t="s">
        <v>58</v>
      </c>
      <c r="S204">
        <v>2</v>
      </c>
      <c r="T204" t="s">
        <v>58</v>
      </c>
      <c r="U204">
        <v>2</v>
      </c>
      <c r="V204" t="s">
        <v>58</v>
      </c>
      <c r="W204">
        <v>2</v>
      </c>
      <c r="X204" t="s">
        <v>60</v>
      </c>
      <c r="Y204">
        <v>1</v>
      </c>
      <c r="Z204" t="s">
        <v>59</v>
      </c>
      <c r="AA204">
        <v>0</v>
      </c>
      <c r="AB204" t="s">
        <v>58</v>
      </c>
      <c r="AC204">
        <v>2</v>
      </c>
      <c r="AD204" t="s">
        <v>59</v>
      </c>
      <c r="AE204">
        <v>0</v>
      </c>
      <c r="AF204" t="s">
        <v>60</v>
      </c>
      <c r="AG204">
        <v>1</v>
      </c>
      <c r="AH204" t="s">
        <v>58</v>
      </c>
      <c r="AI204">
        <v>2</v>
      </c>
      <c r="AJ204" t="s">
        <v>60</v>
      </c>
      <c r="AK204">
        <v>1</v>
      </c>
      <c r="AL204" t="s">
        <v>58</v>
      </c>
      <c r="AM204">
        <v>2</v>
      </c>
      <c r="AN204" t="s">
        <v>59</v>
      </c>
      <c r="AO204">
        <v>0</v>
      </c>
      <c r="AP204" t="s">
        <v>60</v>
      </c>
      <c r="AQ204">
        <v>1</v>
      </c>
      <c r="AR204" t="s">
        <v>60</v>
      </c>
      <c r="AS204">
        <v>1</v>
      </c>
      <c r="AT204" t="s">
        <v>60</v>
      </c>
      <c r="AU204">
        <v>1</v>
      </c>
      <c r="AV204">
        <f t="shared" si="3"/>
        <v>19</v>
      </c>
      <c r="AW204" t="str">
        <f>IF(Table1[[#This Row],[Pontuação final]]&lt;=2,"Nenhum", IF(Table1[[#This Row],[Pontuação final]]&lt;=12,"Leve", IF(Table1[[#This Row],[Pontuação final]]&lt;=22,"Moderado", "Grave")))</f>
        <v>Moderado</v>
      </c>
    </row>
    <row r="205" spans="1:49" x14ac:dyDescent="0.3">
      <c r="A205">
        <v>205</v>
      </c>
      <c r="B205" t="s">
        <v>49</v>
      </c>
      <c r="C205" s="1">
        <v>19</v>
      </c>
      <c r="D205" s="1">
        <v>55</v>
      </c>
      <c r="E205" s="1">
        <v>1.69</v>
      </c>
      <c r="F205" t="s">
        <v>50</v>
      </c>
      <c r="G205" t="s">
        <v>77</v>
      </c>
      <c r="H205" t="s">
        <v>52</v>
      </c>
      <c r="I205" t="s">
        <v>231</v>
      </c>
      <c r="K205" t="s">
        <v>70</v>
      </c>
      <c r="L205" t="s">
        <v>55</v>
      </c>
      <c r="M205" t="s">
        <v>56</v>
      </c>
      <c r="O205" t="s">
        <v>57</v>
      </c>
      <c r="P205" t="s">
        <v>58</v>
      </c>
      <c r="Q205">
        <v>2</v>
      </c>
      <c r="R205" t="s">
        <v>58</v>
      </c>
      <c r="S205">
        <v>2</v>
      </c>
      <c r="T205" t="s">
        <v>59</v>
      </c>
      <c r="U205">
        <v>0</v>
      </c>
      <c r="V205" t="s">
        <v>58</v>
      </c>
      <c r="W205">
        <v>2</v>
      </c>
      <c r="X205" t="s">
        <v>60</v>
      </c>
      <c r="Y205">
        <v>1</v>
      </c>
      <c r="Z205" t="s">
        <v>59</v>
      </c>
      <c r="AA205">
        <v>0</v>
      </c>
      <c r="AB205" t="s">
        <v>60</v>
      </c>
      <c r="AC205">
        <v>1</v>
      </c>
      <c r="AD205" t="s">
        <v>59</v>
      </c>
      <c r="AE205">
        <v>0</v>
      </c>
      <c r="AF205" t="s">
        <v>60</v>
      </c>
      <c r="AG205">
        <v>1</v>
      </c>
      <c r="AH205" t="s">
        <v>58</v>
      </c>
      <c r="AI205">
        <v>2</v>
      </c>
      <c r="AJ205" t="s">
        <v>58</v>
      </c>
      <c r="AK205">
        <v>2</v>
      </c>
      <c r="AL205" t="s">
        <v>59</v>
      </c>
      <c r="AM205">
        <v>0</v>
      </c>
      <c r="AN205" t="s">
        <v>60</v>
      </c>
      <c r="AO205">
        <v>1</v>
      </c>
      <c r="AP205" t="s">
        <v>58</v>
      </c>
      <c r="AQ205">
        <v>2</v>
      </c>
      <c r="AR205" t="s">
        <v>59</v>
      </c>
      <c r="AS205">
        <v>0</v>
      </c>
      <c r="AT205" t="s">
        <v>58</v>
      </c>
      <c r="AU205">
        <v>2</v>
      </c>
      <c r="AV205">
        <f t="shared" si="3"/>
        <v>18</v>
      </c>
      <c r="AW205" t="str">
        <f>IF(Table1[[#This Row],[Pontuação final]]&lt;=2,"Nenhum", IF(Table1[[#This Row],[Pontuação final]]&lt;=12,"Leve", IF(Table1[[#This Row],[Pontuação final]]&lt;=22,"Moderado", "Grave")))</f>
        <v>Moderado</v>
      </c>
    </row>
    <row r="206" spans="1:49" x14ac:dyDescent="0.3">
      <c r="A206">
        <v>206</v>
      </c>
      <c r="B206" t="s">
        <v>49</v>
      </c>
      <c r="C206" s="1">
        <v>19</v>
      </c>
      <c r="D206" s="1">
        <v>70</v>
      </c>
      <c r="E206">
        <v>1.8</v>
      </c>
      <c r="F206" t="s">
        <v>61</v>
      </c>
      <c r="G206" t="s">
        <v>77</v>
      </c>
      <c r="H206" t="s">
        <v>52</v>
      </c>
      <c r="I206" t="s">
        <v>80</v>
      </c>
      <c r="K206" t="s">
        <v>70</v>
      </c>
      <c r="L206" t="s">
        <v>55</v>
      </c>
      <c r="M206" t="s">
        <v>64</v>
      </c>
      <c r="O206" t="s">
        <v>65</v>
      </c>
      <c r="P206" t="s">
        <v>58</v>
      </c>
      <c r="Q206">
        <v>2</v>
      </c>
      <c r="R206" t="s">
        <v>58</v>
      </c>
      <c r="S206">
        <v>2</v>
      </c>
      <c r="T206" t="s">
        <v>59</v>
      </c>
      <c r="U206">
        <v>0</v>
      </c>
      <c r="V206" t="s">
        <v>58</v>
      </c>
      <c r="W206">
        <v>2</v>
      </c>
      <c r="X206" t="s">
        <v>58</v>
      </c>
      <c r="Y206">
        <v>2</v>
      </c>
      <c r="Z206" t="s">
        <v>58</v>
      </c>
      <c r="AA206">
        <v>2</v>
      </c>
      <c r="AB206" t="s">
        <v>58</v>
      </c>
      <c r="AC206">
        <v>2</v>
      </c>
      <c r="AD206" t="s">
        <v>59</v>
      </c>
      <c r="AE206">
        <v>0</v>
      </c>
      <c r="AF206" t="s">
        <v>58</v>
      </c>
      <c r="AG206">
        <v>2</v>
      </c>
      <c r="AH206" t="s">
        <v>58</v>
      </c>
      <c r="AI206">
        <v>2</v>
      </c>
      <c r="AJ206" t="s">
        <v>60</v>
      </c>
      <c r="AK206">
        <v>1</v>
      </c>
      <c r="AL206" t="s">
        <v>58</v>
      </c>
      <c r="AM206">
        <v>2</v>
      </c>
      <c r="AN206" t="s">
        <v>60</v>
      </c>
      <c r="AO206">
        <v>1</v>
      </c>
      <c r="AP206" t="s">
        <v>59</v>
      </c>
      <c r="AQ206">
        <v>0</v>
      </c>
      <c r="AR206" t="s">
        <v>59</v>
      </c>
      <c r="AS206">
        <v>0</v>
      </c>
      <c r="AT206" t="s">
        <v>60</v>
      </c>
      <c r="AU206">
        <v>1</v>
      </c>
      <c r="AV206">
        <f t="shared" si="3"/>
        <v>21</v>
      </c>
      <c r="AW206" t="str">
        <f>IF(Table1[[#This Row],[Pontuação final]]&lt;=2,"Nenhum", IF(Table1[[#This Row],[Pontuação final]]&lt;=12,"Leve", IF(Table1[[#This Row],[Pontuação final]]&lt;=22,"Moderado", "Grave")))</f>
        <v>Moderado</v>
      </c>
    </row>
    <row r="207" spans="1:49" x14ac:dyDescent="0.3">
      <c r="A207">
        <v>207</v>
      </c>
      <c r="B207" t="s">
        <v>49</v>
      </c>
      <c r="C207" s="1">
        <v>18</v>
      </c>
      <c r="D207" s="1">
        <v>52</v>
      </c>
      <c r="E207" s="1">
        <v>1.63</v>
      </c>
      <c r="F207" t="s">
        <v>76</v>
      </c>
      <c r="G207" t="s">
        <v>79</v>
      </c>
      <c r="H207" t="s">
        <v>52</v>
      </c>
      <c r="I207" t="s">
        <v>62</v>
      </c>
      <c r="K207" t="s">
        <v>232</v>
      </c>
      <c r="L207" t="s">
        <v>55</v>
      </c>
      <c r="M207" t="s">
        <v>56</v>
      </c>
      <c r="O207" t="s">
        <v>57</v>
      </c>
      <c r="P207" t="s">
        <v>60</v>
      </c>
      <c r="Q207">
        <v>1</v>
      </c>
      <c r="R207" t="s">
        <v>59</v>
      </c>
      <c r="S207">
        <v>0</v>
      </c>
      <c r="T207" t="s">
        <v>60</v>
      </c>
      <c r="U207">
        <v>1</v>
      </c>
      <c r="V207" t="s">
        <v>58</v>
      </c>
      <c r="W207">
        <v>2</v>
      </c>
      <c r="X207" t="s">
        <v>59</v>
      </c>
      <c r="Y207">
        <v>0</v>
      </c>
      <c r="Z207" t="s">
        <v>59</v>
      </c>
      <c r="AA207">
        <v>0</v>
      </c>
      <c r="AB207" t="s">
        <v>60</v>
      </c>
      <c r="AC207">
        <v>1</v>
      </c>
      <c r="AD207" t="s">
        <v>59</v>
      </c>
      <c r="AE207">
        <v>0</v>
      </c>
      <c r="AF207" t="s">
        <v>60</v>
      </c>
      <c r="AG207">
        <v>1</v>
      </c>
      <c r="AH207" t="s">
        <v>58</v>
      </c>
      <c r="AI207">
        <v>2</v>
      </c>
      <c r="AJ207" t="s">
        <v>58</v>
      </c>
      <c r="AK207">
        <v>2</v>
      </c>
      <c r="AL207" t="s">
        <v>58</v>
      </c>
      <c r="AM207">
        <v>2</v>
      </c>
      <c r="AN207" t="s">
        <v>60</v>
      </c>
      <c r="AO207">
        <v>1</v>
      </c>
      <c r="AP207" t="s">
        <v>60</v>
      </c>
      <c r="AQ207">
        <v>1</v>
      </c>
      <c r="AR207" t="s">
        <v>59</v>
      </c>
      <c r="AS207">
        <v>0</v>
      </c>
      <c r="AT207" t="s">
        <v>58</v>
      </c>
      <c r="AU207">
        <v>2</v>
      </c>
      <c r="AV207">
        <f t="shared" si="3"/>
        <v>16</v>
      </c>
      <c r="AW207" t="str">
        <f>IF(Table1[[#This Row],[Pontuação final]]&lt;=2,"Nenhum", IF(Table1[[#This Row],[Pontuação final]]&lt;=12,"Leve", IF(Table1[[#This Row],[Pontuação final]]&lt;=22,"Moderado", "Grave")))</f>
        <v>Moderado</v>
      </c>
    </row>
    <row r="208" spans="1:49" x14ac:dyDescent="0.3">
      <c r="A208">
        <v>208</v>
      </c>
      <c r="B208" t="s">
        <v>66</v>
      </c>
      <c r="C208" s="1">
        <v>22</v>
      </c>
      <c r="D208" s="1">
        <v>75</v>
      </c>
      <c r="E208" s="1">
        <v>1.71</v>
      </c>
      <c r="F208" t="s">
        <v>76</v>
      </c>
      <c r="G208" t="s">
        <v>105</v>
      </c>
      <c r="H208" t="s">
        <v>68</v>
      </c>
      <c r="I208" t="s">
        <v>80</v>
      </c>
      <c r="K208" t="s">
        <v>233</v>
      </c>
      <c r="L208" t="s">
        <v>55</v>
      </c>
      <c r="M208" t="s">
        <v>56</v>
      </c>
      <c r="O208" t="s">
        <v>65</v>
      </c>
      <c r="P208" t="s">
        <v>58</v>
      </c>
      <c r="Q208">
        <v>2</v>
      </c>
      <c r="R208" t="s">
        <v>58</v>
      </c>
      <c r="S208">
        <v>2</v>
      </c>
      <c r="T208" t="s">
        <v>60</v>
      </c>
      <c r="U208">
        <v>1</v>
      </c>
      <c r="V208" t="s">
        <v>58</v>
      </c>
      <c r="W208">
        <v>2</v>
      </c>
      <c r="X208" t="s">
        <v>58</v>
      </c>
      <c r="Y208">
        <v>2</v>
      </c>
      <c r="Z208" t="s">
        <v>58</v>
      </c>
      <c r="AA208">
        <v>2</v>
      </c>
      <c r="AB208" t="s">
        <v>58</v>
      </c>
      <c r="AC208">
        <v>2</v>
      </c>
      <c r="AD208" t="s">
        <v>59</v>
      </c>
      <c r="AE208">
        <v>0</v>
      </c>
      <c r="AF208" t="s">
        <v>58</v>
      </c>
      <c r="AG208">
        <v>2</v>
      </c>
      <c r="AH208" t="s">
        <v>58</v>
      </c>
      <c r="AI208">
        <v>2</v>
      </c>
      <c r="AJ208" t="s">
        <v>58</v>
      </c>
      <c r="AK208">
        <v>2</v>
      </c>
      <c r="AL208" t="s">
        <v>58</v>
      </c>
      <c r="AM208">
        <v>2</v>
      </c>
      <c r="AN208" t="s">
        <v>58</v>
      </c>
      <c r="AO208">
        <v>2</v>
      </c>
      <c r="AP208" t="s">
        <v>60</v>
      </c>
      <c r="AQ208">
        <v>1</v>
      </c>
      <c r="AR208" t="s">
        <v>59</v>
      </c>
      <c r="AS208">
        <v>0</v>
      </c>
      <c r="AT208" t="s">
        <v>58</v>
      </c>
      <c r="AU208">
        <v>2</v>
      </c>
      <c r="AV208">
        <f t="shared" si="3"/>
        <v>26</v>
      </c>
      <c r="AW208" t="str">
        <f>IF(Table1[[#This Row],[Pontuação final]]&lt;=2,"Nenhum", IF(Table1[[#This Row],[Pontuação final]]&lt;=12,"Leve", IF(Table1[[#This Row],[Pontuação final]]&lt;=22,"Moderado", "Grave")))</f>
        <v>Grave</v>
      </c>
    </row>
    <row r="209" spans="1:49" x14ac:dyDescent="0.3">
      <c r="A209">
        <v>209</v>
      </c>
      <c r="B209" t="s">
        <v>66</v>
      </c>
      <c r="C209" s="1">
        <v>20</v>
      </c>
      <c r="D209" s="1">
        <v>53</v>
      </c>
      <c r="E209" s="1">
        <v>1.74</v>
      </c>
      <c r="F209" t="s">
        <v>61</v>
      </c>
      <c r="G209" t="s">
        <v>90</v>
      </c>
      <c r="H209" t="s">
        <v>52</v>
      </c>
      <c r="I209" t="s">
        <v>62</v>
      </c>
      <c r="K209" t="s">
        <v>224</v>
      </c>
      <c r="L209" t="s">
        <v>55</v>
      </c>
      <c r="M209" t="s">
        <v>75</v>
      </c>
      <c r="O209" t="s">
        <v>57</v>
      </c>
      <c r="P209" t="s">
        <v>58</v>
      </c>
      <c r="Q209">
        <v>2</v>
      </c>
      <c r="R209" t="s">
        <v>60</v>
      </c>
      <c r="S209">
        <v>1</v>
      </c>
      <c r="T209" t="s">
        <v>60</v>
      </c>
      <c r="U209">
        <v>1</v>
      </c>
      <c r="V209" t="s">
        <v>58</v>
      </c>
      <c r="W209">
        <v>2</v>
      </c>
      <c r="X209" t="s">
        <v>59</v>
      </c>
      <c r="Y209">
        <v>0</v>
      </c>
      <c r="Z209" t="s">
        <v>59</v>
      </c>
      <c r="AA209">
        <v>0</v>
      </c>
      <c r="AB209" t="s">
        <v>59</v>
      </c>
      <c r="AC209">
        <v>0</v>
      </c>
      <c r="AD209" t="s">
        <v>58</v>
      </c>
      <c r="AE209">
        <v>2</v>
      </c>
      <c r="AF209" t="s">
        <v>60</v>
      </c>
      <c r="AG209">
        <v>1</v>
      </c>
      <c r="AH209" t="s">
        <v>58</v>
      </c>
      <c r="AI209">
        <v>2</v>
      </c>
      <c r="AJ209" t="s">
        <v>59</v>
      </c>
      <c r="AK209">
        <v>0</v>
      </c>
      <c r="AL209" t="s">
        <v>58</v>
      </c>
      <c r="AM209">
        <v>2</v>
      </c>
      <c r="AN209" t="s">
        <v>59</v>
      </c>
      <c r="AO209">
        <v>0</v>
      </c>
      <c r="AP209" t="s">
        <v>59</v>
      </c>
      <c r="AQ209">
        <v>0</v>
      </c>
      <c r="AR209" t="s">
        <v>60</v>
      </c>
      <c r="AS209">
        <v>1</v>
      </c>
      <c r="AT209" t="s">
        <v>60</v>
      </c>
      <c r="AU209">
        <v>1</v>
      </c>
      <c r="AV209">
        <f t="shared" si="3"/>
        <v>15</v>
      </c>
      <c r="AW209" t="str">
        <f>IF(Table1[[#This Row],[Pontuação final]]&lt;=2,"Nenhum", IF(Table1[[#This Row],[Pontuação final]]&lt;=12,"Leve", IF(Table1[[#This Row],[Pontuação final]]&lt;=22,"Moderado", "Grave")))</f>
        <v>Moderado</v>
      </c>
    </row>
    <row r="210" spans="1:49" x14ac:dyDescent="0.3">
      <c r="A210">
        <v>210</v>
      </c>
      <c r="B210" t="s">
        <v>66</v>
      </c>
      <c r="C210" s="1">
        <v>21</v>
      </c>
      <c r="D210" s="1">
        <v>60</v>
      </c>
      <c r="E210" s="1">
        <v>1.58</v>
      </c>
      <c r="F210" t="s">
        <v>61</v>
      </c>
      <c r="G210" t="s">
        <v>77</v>
      </c>
      <c r="H210" t="s">
        <v>68</v>
      </c>
      <c r="I210" t="s">
        <v>97</v>
      </c>
      <c r="K210" t="s">
        <v>183</v>
      </c>
      <c r="L210" t="s">
        <v>55</v>
      </c>
      <c r="M210" t="s">
        <v>56</v>
      </c>
      <c r="O210" t="s">
        <v>65</v>
      </c>
      <c r="P210" t="s">
        <v>58</v>
      </c>
      <c r="Q210">
        <v>2</v>
      </c>
      <c r="R210" t="s">
        <v>58</v>
      </c>
      <c r="S210">
        <v>2</v>
      </c>
      <c r="T210" t="s">
        <v>58</v>
      </c>
      <c r="U210">
        <v>2</v>
      </c>
      <c r="V210" t="s">
        <v>58</v>
      </c>
      <c r="W210">
        <v>2</v>
      </c>
      <c r="X210" t="s">
        <v>60</v>
      </c>
      <c r="Y210">
        <v>1</v>
      </c>
      <c r="Z210" t="s">
        <v>59</v>
      </c>
      <c r="AA210">
        <v>0</v>
      </c>
      <c r="AB210" t="s">
        <v>60</v>
      </c>
      <c r="AC210">
        <v>1</v>
      </c>
      <c r="AD210" t="s">
        <v>58</v>
      </c>
      <c r="AE210">
        <v>2</v>
      </c>
      <c r="AF210" t="s">
        <v>60</v>
      </c>
      <c r="AG210">
        <v>1</v>
      </c>
      <c r="AH210" t="s">
        <v>58</v>
      </c>
      <c r="AI210">
        <v>2</v>
      </c>
      <c r="AJ210" t="s">
        <v>58</v>
      </c>
      <c r="AK210">
        <v>2</v>
      </c>
      <c r="AL210" t="s">
        <v>60</v>
      </c>
      <c r="AM210">
        <v>1</v>
      </c>
      <c r="AN210" t="s">
        <v>59</v>
      </c>
      <c r="AO210">
        <v>0</v>
      </c>
      <c r="AP210" t="s">
        <v>60</v>
      </c>
      <c r="AQ210">
        <v>1</v>
      </c>
      <c r="AR210" t="s">
        <v>58</v>
      </c>
      <c r="AS210">
        <v>2</v>
      </c>
      <c r="AT210" t="s">
        <v>58</v>
      </c>
      <c r="AU210">
        <v>2</v>
      </c>
      <c r="AV210">
        <f t="shared" si="3"/>
        <v>23</v>
      </c>
      <c r="AW210" t="str">
        <f>IF(Table1[[#This Row],[Pontuação final]]&lt;=2,"Nenhum", IF(Table1[[#This Row],[Pontuação final]]&lt;=12,"Leve", IF(Table1[[#This Row],[Pontuação final]]&lt;=22,"Moderado", "Grave")))</f>
        <v>Grave</v>
      </c>
    </row>
    <row r="211" spans="1:49" x14ac:dyDescent="0.3">
      <c r="A211">
        <v>211</v>
      </c>
      <c r="B211" t="s">
        <v>49</v>
      </c>
      <c r="C211" s="1">
        <v>22</v>
      </c>
      <c r="D211" s="1">
        <v>64</v>
      </c>
      <c r="E211" s="1">
        <v>1.8</v>
      </c>
      <c r="F211" t="s">
        <v>104</v>
      </c>
      <c r="G211" t="s">
        <v>79</v>
      </c>
      <c r="H211" t="s">
        <v>52</v>
      </c>
      <c r="I211" t="s">
        <v>62</v>
      </c>
      <c r="K211" t="s">
        <v>227</v>
      </c>
      <c r="L211" t="s">
        <v>74</v>
      </c>
      <c r="M211" t="s">
        <v>75</v>
      </c>
      <c r="O211" t="s">
        <v>57</v>
      </c>
      <c r="P211" t="s">
        <v>60</v>
      </c>
      <c r="Q211">
        <v>1</v>
      </c>
      <c r="R211" t="s">
        <v>60</v>
      </c>
      <c r="S211">
        <v>1</v>
      </c>
      <c r="T211" t="s">
        <v>59</v>
      </c>
      <c r="U211">
        <v>0</v>
      </c>
      <c r="V211" t="s">
        <v>60</v>
      </c>
      <c r="W211">
        <v>1</v>
      </c>
      <c r="X211" t="s">
        <v>59</v>
      </c>
      <c r="Y211">
        <v>0</v>
      </c>
      <c r="Z211" t="s">
        <v>59</v>
      </c>
      <c r="AA211">
        <v>0</v>
      </c>
      <c r="AB211" t="s">
        <v>59</v>
      </c>
      <c r="AC211">
        <v>0</v>
      </c>
      <c r="AD211" t="s">
        <v>59</v>
      </c>
      <c r="AE211">
        <v>0</v>
      </c>
      <c r="AF211" t="s">
        <v>60</v>
      </c>
      <c r="AG211">
        <v>1</v>
      </c>
      <c r="AH211" t="s">
        <v>58</v>
      </c>
      <c r="AI211">
        <v>2</v>
      </c>
      <c r="AJ211" t="s">
        <v>58</v>
      </c>
      <c r="AK211">
        <v>2</v>
      </c>
      <c r="AL211" t="s">
        <v>60</v>
      </c>
      <c r="AM211">
        <v>1</v>
      </c>
      <c r="AN211" t="s">
        <v>59</v>
      </c>
      <c r="AO211">
        <v>0</v>
      </c>
      <c r="AP211" t="s">
        <v>59</v>
      </c>
      <c r="AQ211">
        <v>0</v>
      </c>
      <c r="AR211" t="s">
        <v>58</v>
      </c>
      <c r="AS211">
        <v>2</v>
      </c>
      <c r="AT211" t="s">
        <v>58</v>
      </c>
      <c r="AU211">
        <v>2</v>
      </c>
      <c r="AV211">
        <f t="shared" si="3"/>
        <v>13</v>
      </c>
      <c r="AW211" t="str">
        <f>IF(Table1[[#This Row],[Pontuação final]]&lt;=2,"Nenhum", IF(Table1[[#This Row],[Pontuação final]]&lt;=12,"Leve", IF(Table1[[#This Row],[Pontuação final]]&lt;=22,"Moderado", "Grave")))</f>
        <v>Moderado</v>
      </c>
    </row>
    <row r="212" spans="1:49" x14ac:dyDescent="0.3">
      <c r="A212">
        <v>212</v>
      </c>
      <c r="B212" t="s">
        <v>49</v>
      </c>
      <c r="C212" s="1">
        <v>22</v>
      </c>
      <c r="D212">
        <v>85.5</v>
      </c>
      <c r="E212">
        <v>1.75</v>
      </c>
      <c r="F212" t="s">
        <v>50</v>
      </c>
      <c r="G212" t="s">
        <v>90</v>
      </c>
      <c r="H212" t="s">
        <v>68</v>
      </c>
      <c r="I212" t="s">
        <v>80</v>
      </c>
      <c r="K212" t="s">
        <v>70</v>
      </c>
      <c r="L212" t="s">
        <v>55</v>
      </c>
      <c r="M212" t="s">
        <v>56</v>
      </c>
      <c r="O212" t="s">
        <v>65</v>
      </c>
      <c r="P212" t="s">
        <v>58</v>
      </c>
      <c r="Q212">
        <v>2</v>
      </c>
      <c r="R212" t="s">
        <v>58</v>
      </c>
      <c r="S212">
        <v>2</v>
      </c>
      <c r="T212" t="s">
        <v>60</v>
      </c>
      <c r="U212">
        <v>1</v>
      </c>
      <c r="V212" t="s">
        <v>60</v>
      </c>
      <c r="W212">
        <v>1</v>
      </c>
      <c r="X212" t="s">
        <v>59</v>
      </c>
      <c r="Y212">
        <v>0</v>
      </c>
      <c r="Z212" t="s">
        <v>59</v>
      </c>
      <c r="AA212">
        <v>0</v>
      </c>
      <c r="AB212" t="s">
        <v>60</v>
      </c>
      <c r="AC212">
        <v>1</v>
      </c>
      <c r="AD212" t="s">
        <v>58</v>
      </c>
      <c r="AE212">
        <v>2</v>
      </c>
      <c r="AF212" t="s">
        <v>60</v>
      </c>
      <c r="AG212">
        <v>1</v>
      </c>
      <c r="AH212" t="s">
        <v>58</v>
      </c>
      <c r="AI212">
        <v>2</v>
      </c>
      <c r="AJ212" t="s">
        <v>58</v>
      </c>
      <c r="AK212">
        <v>2</v>
      </c>
      <c r="AL212" t="s">
        <v>58</v>
      </c>
      <c r="AM212">
        <v>2</v>
      </c>
      <c r="AN212" t="s">
        <v>60</v>
      </c>
      <c r="AO212">
        <v>1</v>
      </c>
      <c r="AP212" t="s">
        <v>59</v>
      </c>
      <c r="AQ212">
        <v>0</v>
      </c>
      <c r="AR212" t="s">
        <v>59</v>
      </c>
      <c r="AS212">
        <v>0</v>
      </c>
      <c r="AT212" t="s">
        <v>58</v>
      </c>
      <c r="AU212">
        <v>2</v>
      </c>
      <c r="AV212">
        <f t="shared" si="3"/>
        <v>19</v>
      </c>
      <c r="AW212" t="str">
        <f>IF(Table1[[#This Row],[Pontuação final]]&lt;=2,"Nenhum", IF(Table1[[#This Row],[Pontuação final]]&lt;=12,"Leve", IF(Table1[[#This Row],[Pontuação final]]&lt;=22,"Moderado", "Grave")))</f>
        <v>Moderado</v>
      </c>
    </row>
    <row r="213" spans="1:49" x14ac:dyDescent="0.3">
      <c r="A213">
        <v>213</v>
      </c>
      <c r="B213" t="s">
        <v>49</v>
      </c>
      <c r="C213" s="1">
        <v>22</v>
      </c>
      <c r="D213" s="1">
        <v>74</v>
      </c>
      <c r="E213" s="1">
        <v>1.75</v>
      </c>
      <c r="F213" t="s">
        <v>76</v>
      </c>
      <c r="G213" t="s">
        <v>105</v>
      </c>
      <c r="H213" t="s">
        <v>52</v>
      </c>
      <c r="I213" t="s">
        <v>97</v>
      </c>
      <c r="K213" t="s">
        <v>234</v>
      </c>
      <c r="L213" t="s">
        <v>74</v>
      </c>
      <c r="M213" t="s">
        <v>56</v>
      </c>
      <c r="O213" t="s">
        <v>57</v>
      </c>
      <c r="P213" t="s">
        <v>58</v>
      </c>
      <c r="Q213">
        <v>2</v>
      </c>
      <c r="R213" t="s">
        <v>58</v>
      </c>
      <c r="S213">
        <v>2</v>
      </c>
      <c r="T213" t="s">
        <v>58</v>
      </c>
      <c r="U213">
        <v>2</v>
      </c>
      <c r="V213" t="s">
        <v>58</v>
      </c>
      <c r="W213">
        <v>2</v>
      </c>
      <c r="X213" t="s">
        <v>58</v>
      </c>
      <c r="Y213">
        <v>2</v>
      </c>
      <c r="Z213" t="s">
        <v>58</v>
      </c>
      <c r="AA213">
        <v>2</v>
      </c>
      <c r="AB213" t="s">
        <v>58</v>
      </c>
      <c r="AC213">
        <v>2</v>
      </c>
      <c r="AD213" t="s">
        <v>58</v>
      </c>
      <c r="AE213">
        <v>2</v>
      </c>
      <c r="AF213" t="s">
        <v>58</v>
      </c>
      <c r="AG213">
        <v>2</v>
      </c>
      <c r="AH213" t="s">
        <v>58</v>
      </c>
      <c r="AI213">
        <v>2</v>
      </c>
      <c r="AJ213" t="s">
        <v>58</v>
      </c>
      <c r="AK213">
        <v>2</v>
      </c>
      <c r="AL213" t="s">
        <v>58</v>
      </c>
      <c r="AM213">
        <v>2</v>
      </c>
      <c r="AN213" t="s">
        <v>58</v>
      </c>
      <c r="AO213">
        <v>2</v>
      </c>
      <c r="AP213" t="s">
        <v>58</v>
      </c>
      <c r="AQ213">
        <v>2</v>
      </c>
      <c r="AR213" t="s">
        <v>59</v>
      </c>
      <c r="AS213">
        <v>0</v>
      </c>
      <c r="AT213" t="s">
        <v>58</v>
      </c>
      <c r="AU213">
        <v>2</v>
      </c>
      <c r="AV213">
        <f t="shared" si="3"/>
        <v>30</v>
      </c>
      <c r="AW213" t="str">
        <f>IF(Table1[[#This Row],[Pontuação final]]&lt;=2,"Nenhum", IF(Table1[[#This Row],[Pontuação final]]&lt;=12,"Leve", IF(Table1[[#This Row],[Pontuação final]]&lt;=22,"Moderado", "Grave")))</f>
        <v>Grave</v>
      </c>
    </row>
    <row r="214" spans="1:49" x14ac:dyDescent="0.3">
      <c r="A214">
        <v>214</v>
      </c>
      <c r="B214" t="s">
        <v>49</v>
      </c>
      <c r="C214" s="1">
        <v>27</v>
      </c>
      <c r="D214" s="1">
        <v>110</v>
      </c>
      <c r="E214">
        <v>1.78</v>
      </c>
      <c r="F214" t="s">
        <v>76</v>
      </c>
      <c r="G214" t="s">
        <v>90</v>
      </c>
      <c r="H214" t="s">
        <v>68</v>
      </c>
      <c r="I214" t="s">
        <v>72</v>
      </c>
      <c r="K214" t="s">
        <v>235</v>
      </c>
      <c r="L214" t="s">
        <v>55</v>
      </c>
      <c r="M214" t="s">
        <v>64</v>
      </c>
      <c r="O214" t="s">
        <v>82</v>
      </c>
      <c r="P214" t="s">
        <v>60</v>
      </c>
      <c r="Q214">
        <v>1</v>
      </c>
      <c r="R214" t="s">
        <v>60</v>
      </c>
      <c r="S214">
        <v>1</v>
      </c>
      <c r="T214" t="s">
        <v>60</v>
      </c>
      <c r="U214">
        <v>1</v>
      </c>
      <c r="V214" t="s">
        <v>60</v>
      </c>
      <c r="W214">
        <v>1</v>
      </c>
      <c r="X214" t="s">
        <v>59</v>
      </c>
      <c r="Y214">
        <v>0</v>
      </c>
      <c r="Z214" t="s">
        <v>59</v>
      </c>
      <c r="AA214">
        <v>0</v>
      </c>
      <c r="AB214" t="s">
        <v>59</v>
      </c>
      <c r="AC214">
        <v>0</v>
      </c>
      <c r="AD214" t="s">
        <v>59</v>
      </c>
      <c r="AE214">
        <v>0</v>
      </c>
      <c r="AF214" t="s">
        <v>59</v>
      </c>
      <c r="AG214">
        <v>0</v>
      </c>
      <c r="AH214" t="s">
        <v>59</v>
      </c>
      <c r="AI214">
        <v>0</v>
      </c>
      <c r="AJ214" t="s">
        <v>59</v>
      </c>
      <c r="AK214">
        <v>0</v>
      </c>
      <c r="AL214" t="s">
        <v>60</v>
      </c>
      <c r="AM214">
        <v>1</v>
      </c>
      <c r="AN214" t="s">
        <v>59</v>
      </c>
      <c r="AO214">
        <v>0</v>
      </c>
      <c r="AP214" t="s">
        <v>59</v>
      </c>
      <c r="AQ214">
        <v>0</v>
      </c>
      <c r="AR214" t="s">
        <v>59</v>
      </c>
      <c r="AS214">
        <v>0</v>
      </c>
      <c r="AT214" t="s">
        <v>60</v>
      </c>
      <c r="AU214">
        <v>1</v>
      </c>
      <c r="AV214">
        <f t="shared" si="3"/>
        <v>6</v>
      </c>
      <c r="AW214" t="str">
        <f>IF(Table1[[#This Row],[Pontuação final]]&lt;=2,"Nenhum", IF(Table1[[#This Row],[Pontuação final]]&lt;=12,"Leve", IF(Table1[[#This Row],[Pontuação final]]&lt;=22,"Moderado", "Grave")))</f>
        <v>Leve</v>
      </c>
    </row>
    <row r="215" spans="1:49" x14ac:dyDescent="0.3">
      <c r="A215">
        <v>215</v>
      </c>
      <c r="B215" t="s">
        <v>66</v>
      </c>
      <c r="C215" s="1">
        <v>23</v>
      </c>
      <c r="D215" s="1">
        <v>58</v>
      </c>
      <c r="E215" s="1">
        <v>1.67</v>
      </c>
      <c r="F215" t="s">
        <v>111</v>
      </c>
      <c r="G215" t="s">
        <v>79</v>
      </c>
      <c r="H215" t="s">
        <v>52</v>
      </c>
      <c r="I215" t="s">
        <v>53</v>
      </c>
      <c r="K215" t="s">
        <v>236</v>
      </c>
      <c r="L215" t="s">
        <v>237</v>
      </c>
      <c r="M215" t="s">
        <v>75</v>
      </c>
      <c r="O215" t="s">
        <v>82</v>
      </c>
      <c r="P215" t="s">
        <v>60</v>
      </c>
      <c r="Q215">
        <v>1</v>
      </c>
      <c r="R215" t="s">
        <v>60</v>
      </c>
      <c r="S215">
        <v>1</v>
      </c>
      <c r="T215" t="s">
        <v>59</v>
      </c>
      <c r="U215">
        <v>0</v>
      </c>
      <c r="V215" t="s">
        <v>58</v>
      </c>
      <c r="W215">
        <v>2</v>
      </c>
      <c r="X215" t="s">
        <v>60</v>
      </c>
      <c r="Y215">
        <v>1</v>
      </c>
      <c r="Z215" t="s">
        <v>59</v>
      </c>
      <c r="AA215">
        <v>0</v>
      </c>
      <c r="AB215" t="s">
        <v>59</v>
      </c>
      <c r="AC215">
        <v>0</v>
      </c>
      <c r="AD215" t="s">
        <v>59</v>
      </c>
      <c r="AE215">
        <v>0</v>
      </c>
      <c r="AF215" t="s">
        <v>60</v>
      </c>
      <c r="AG215">
        <v>1</v>
      </c>
      <c r="AH215" t="s">
        <v>59</v>
      </c>
      <c r="AI215">
        <v>0</v>
      </c>
      <c r="AJ215" t="s">
        <v>60</v>
      </c>
      <c r="AK215">
        <v>1</v>
      </c>
      <c r="AL215" t="s">
        <v>60</v>
      </c>
      <c r="AM215">
        <v>1</v>
      </c>
      <c r="AN215" t="s">
        <v>59</v>
      </c>
      <c r="AO215">
        <v>0</v>
      </c>
      <c r="AP215" t="s">
        <v>59</v>
      </c>
      <c r="AQ215">
        <v>0</v>
      </c>
      <c r="AR215" t="s">
        <v>60</v>
      </c>
      <c r="AS215">
        <v>1</v>
      </c>
      <c r="AT215" t="s">
        <v>60</v>
      </c>
      <c r="AU215">
        <v>1</v>
      </c>
      <c r="AV215">
        <f t="shared" si="3"/>
        <v>10</v>
      </c>
      <c r="AW215" t="str">
        <f>IF(Table1[[#This Row],[Pontuação final]]&lt;=2,"Nenhum", IF(Table1[[#This Row],[Pontuação final]]&lt;=12,"Leve", IF(Table1[[#This Row],[Pontuação final]]&lt;=22,"Moderado", "Grave")))</f>
        <v>Leve</v>
      </c>
    </row>
    <row r="216" spans="1:49" x14ac:dyDescent="0.3">
      <c r="A216">
        <v>216</v>
      </c>
      <c r="B216" t="s">
        <v>66</v>
      </c>
      <c r="C216" s="1">
        <v>22</v>
      </c>
      <c r="D216" s="1">
        <v>60</v>
      </c>
      <c r="E216">
        <v>1.6</v>
      </c>
      <c r="F216" t="s">
        <v>111</v>
      </c>
      <c r="G216" t="s">
        <v>105</v>
      </c>
      <c r="H216" t="s">
        <v>68</v>
      </c>
      <c r="I216" t="s">
        <v>69</v>
      </c>
      <c r="K216" t="s">
        <v>70</v>
      </c>
      <c r="L216" t="s">
        <v>55</v>
      </c>
      <c r="M216" t="s">
        <v>56</v>
      </c>
      <c r="O216" t="s">
        <v>65</v>
      </c>
      <c r="P216" t="s">
        <v>58</v>
      </c>
      <c r="Q216">
        <v>2</v>
      </c>
      <c r="R216" t="s">
        <v>58</v>
      </c>
      <c r="S216">
        <v>2</v>
      </c>
      <c r="T216" t="s">
        <v>59</v>
      </c>
      <c r="U216">
        <v>0</v>
      </c>
      <c r="V216" t="s">
        <v>58</v>
      </c>
      <c r="W216">
        <v>2</v>
      </c>
      <c r="X216" t="s">
        <v>60</v>
      </c>
      <c r="Y216">
        <v>1</v>
      </c>
      <c r="Z216" t="s">
        <v>60</v>
      </c>
      <c r="AA216">
        <v>1</v>
      </c>
      <c r="AB216" t="s">
        <v>60</v>
      </c>
      <c r="AC216">
        <v>1</v>
      </c>
      <c r="AD216" t="s">
        <v>60</v>
      </c>
      <c r="AE216">
        <v>1</v>
      </c>
      <c r="AF216" t="s">
        <v>60</v>
      </c>
      <c r="AG216">
        <v>1</v>
      </c>
      <c r="AH216" t="s">
        <v>58</v>
      </c>
      <c r="AI216">
        <v>2</v>
      </c>
      <c r="AJ216" t="s">
        <v>58</v>
      </c>
      <c r="AK216">
        <v>2</v>
      </c>
      <c r="AL216" t="s">
        <v>60</v>
      </c>
      <c r="AM216">
        <v>1</v>
      </c>
      <c r="AN216" t="s">
        <v>60</v>
      </c>
      <c r="AO216">
        <v>1</v>
      </c>
      <c r="AP216" t="s">
        <v>59</v>
      </c>
      <c r="AQ216">
        <v>0</v>
      </c>
      <c r="AR216" t="s">
        <v>58</v>
      </c>
      <c r="AS216">
        <v>2</v>
      </c>
      <c r="AT216" t="s">
        <v>58</v>
      </c>
      <c r="AU216">
        <v>2</v>
      </c>
      <c r="AV216">
        <f t="shared" si="3"/>
        <v>21</v>
      </c>
      <c r="AW216" t="str">
        <f>IF(Table1[[#This Row],[Pontuação final]]&lt;=2,"Nenhum", IF(Table1[[#This Row],[Pontuação final]]&lt;=12,"Leve", IF(Table1[[#This Row],[Pontuação final]]&lt;=22,"Moderado", "Grave")))</f>
        <v>Moderado</v>
      </c>
    </row>
    <row r="217" spans="1:49" x14ac:dyDescent="0.3">
      <c r="A217">
        <v>217</v>
      </c>
      <c r="B217" t="s">
        <v>49</v>
      </c>
      <c r="C217" s="1">
        <v>27</v>
      </c>
      <c r="D217" s="1">
        <v>80</v>
      </c>
      <c r="E217" s="1">
        <v>1.8</v>
      </c>
      <c r="F217" t="s">
        <v>76</v>
      </c>
      <c r="G217" t="s">
        <v>90</v>
      </c>
      <c r="H217" t="s">
        <v>68</v>
      </c>
      <c r="I217" t="s">
        <v>72</v>
      </c>
      <c r="K217" t="s">
        <v>238</v>
      </c>
      <c r="L217" t="s">
        <v>55</v>
      </c>
      <c r="M217" t="s">
        <v>75</v>
      </c>
      <c r="O217" t="s">
        <v>57</v>
      </c>
      <c r="P217" t="s">
        <v>58</v>
      </c>
      <c r="Q217">
        <v>2</v>
      </c>
      <c r="R217" t="s">
        <v>59</v>
      </c>
      <c r="S217">
        <v>0</v>
      </c>
      <c r="T217" t="s">
        <v>59</v>
      </c>
      <c r="U217">
        <v>0</v>
      </c>
      <c r="V217" t="s">
        <v>58</v>
      </c>
      <c r="W217">
        <v>2</v>
      </c>
      <c r="X217" t="s">
        <v>59</v>
      </c>
      <c r="Y217">
        <v>0</v>
      </c>
      <c r="Z217" t="s">
        <v>59</v>
      </c>
      <c r="AA217">
        <v>0</v>
      </c>
      <c r="AB217" t="s">
        <v>59</v>
      </c>
      <c r="AC217">
        <v>0</v>
      </c>
      <c r="AD217" t="s">
        <v>59</v>
      </c>
      <c r="AE217">
        <v>0</v>
      </c>
      <c r="AF217" t="s">
        <v>58</v>
      </c>
      <c r="AG217">
        <v>2</v>
      </c>
      <c r="AH217" t="s">
        <v>58</v>
      </c>
      <c r="AI217">
        <v>2</v>
      </c>
      <c r="AJ217" t="s">
        <v>58</v>
      </c>
      <c r="AK217">
        <v>2</v>
      </c>
      <c r="AL217" t="s">
        <v>58</v>
      </c>
      <c r="AM217">
        <v>2</v>
      </c>
      <c r="AN217" t="s">
        <v>58</v>
      </c>
      <c r="AO217">
        <v>2</v>
      </c>
      <c r="AP217" t="s">
        <v>59</v>
      </c>
      <c r="AQ217">
        <v>0</v>
      </c>
      <c r="AR217" t="s">
        <v>59</v>
      </c>
      <c r="AS217">
        <v>0</v>
      </c>
      <c r="AT217" t="s">
        <v>58</v>
      </c>
      <c r="AU217">
        <v>2</v>
      </c>
      <c r="AV217">
        <f t="shared" si="3"/>
        <v>16</v>
      </c>
      <c r="AW217" t="str">
        <f>IF(Table1[[#This Row],[Pontuação final]]&lt;=2,"Nenhum", IF(Table1[[#This Row],[Pontuação final]]&lt;=12,"Leve", IF(Table1[[#This Row],[Pontuação final]]&lt;=22,"Moderado", "Grave")))</f>
        <v>Moderado</v>
      </c>
    </row>
    <row r="218" spans="1:49" x14ac:dyDescent="0.3">
      <c r="A218">
        <v>218</v>
      </c>
      <c r="B218" t="s">
        <v>49</v>
      </c>
      <c r="C218" s="1">
        <v>21</v>
      </c>
      <c r="D218" s="1">
        <v>77</v>
      </c>
      <c r="E218" s="1">
        <v>1.74</v>
      </c>
      <c r="F218" t="s">
        <v>61</v>
      </c>
      <c r="G218" t="s">
        <v>90</v>
      </c>
      <c r="H218" t="s">
        <v>68</v>
      </c>
      <c r="I218" t="s">
        <v>53</v>
      </c>
      <c r="K218" t="s">
        <v>70</v>
      </c>
      <c r="L218" t="s">
        <v>55</v>
      </c>
      <c r="M218" t="s">
        <v>64</v>
      </c>
      <c r="O218" t="s">
        <v>57</v>
      </c>
      <c r="P218" t="s">
        <v>60</v>
      </c>
      <c r="Q218">
        <v>1</v>
      </c>
      <c r="R218" t="s">
        <v>60</v>
      </c>
      <c r="S218">
        <v>1</v>
      </c>
      <c r="T218" t="s">
        <v>59</v>
      </c>
      <c r="U218">
        <v>0</v>
      </c>
      <c r="V218" t="s">
        <v>58</v>
      </c>
      <c r="W218">
        <v>2</v>
      </c>
      <c r="X218" t="s">
        <v>59</v>
      </c>
      <c r="Y218">
        <v>0</v>
      </c>
      <c r="Z218" t="s">
        <v>59</v>
      </c>
      <c r="AA218">
        <v>0</v>
      </c>
      <c r="AB218" t="s">
        <v>60</v>
      </c>
      <c r="AC218">
        <v>1</v>
      </c>
      <c r="AD218" t="s">
        <v>59</v>
      </c>
      <c r="AE218">
        <v>0</v>
      </c>
      <c r="AF218" t="s">
        <v>60</v>
      </c>
      <c r="AG218">
        <v>1</v>
      </c>
      <c r="AH218" t="s">
        <v>58</v>
      </c>
      <c r="AI218">
        <v>2</v>
      </c>
      <c r="AJ218" t="s">
        <v>58</v>
      </c>
      <c r="AK218">
        <v>2</v>
      </c>
      <c r="AL218" t="s">
        <v>58</v>
      </c>
      <c r="AM218">
        <v>2</v>
      </c>
      <c r="AN218" t="s">
        <v>60</v>
      </c>
      <c r="AO218">
        <v>1</v>
      </c>
      <c r="AP218" t="s">
        <v>59</v>
      </c>
      <c r="AQ218">
        <v>0</v>
      </c>
      <c r="AR218" t="s">
        <v>59</v>
      </c>
      <c r="AS218">
        <v>0</v>
      </c>
      <c r="AT218" t="s">
        <v>58</v>
      </c>
      <c r="AU218">
        <v>2</v>
      </c>
      <c r="AV218">
        <f t="shared" si="3"/>
        <v>15</v>
      </c>
      <c r="AW218" t="str">
        <f>IF(Table1[[#This Row],[Pontuação final]]&lt;=2,"Nenhum", IF(Table1[[#This Row],[Pontuação final]]&lt;=12,"Leve", IF(Table1[[#This Row],[Pontuação final]]&lt;=22,"Moderado", "Grave")))</f>
        <v>Moderado</v>
      </c>
    </row>
    <row r="219" spans="1:49" x14ac:dyDescent="0.3">
      <c r="A219">
        <v>219</v>
      </c>
      <c r="B219" t="s">
        <v>49</v>
      </c>
      <c r="C219" s="1">
        <v>20</v>
      </c>
      <c r="D219" s="1">
        <v>80</v>
      </c>
      <c r="E219" s="1">
        <v>1.9</v>
      </c>
      <c r="F219" t="s">
        <v>61</v>
      </c>
      <c r="G219" t="s">
        <v>77</v>
      </c>
      <c r="H219" t="s">
        <v>52</v>
      </c>
      <c r="I219" t="s">
        <v>62</v>
      </c>
      <c r="J219" t="s">
        <v>239</v>
      </c>
      <c r="K219" t="s">
        <v>240</v>
      </c>
      <c r="L219" t="s">
        <v>55</v>
      </c>
      <c r="M219" t="s">
        <v>75</v>
      </c>
      <c r="O219" t="s">
        <v>65</v>
      </c>
      <c r="P219" t="s">
        <v>58</v>
      </c>
      <c r="Q219">
        <v>2</v>
      </c>
      <c r="R219" t="s">
        <v>59</v>
      </c>
      <c r="S219">
        <v>0</v>
      </c>
      <c r="T219" t="s">
        <v>59</v>
      </c>
      <c r="U219">
        <v>0</v>
      </c>
      <c r="V219" t="s">
        <v>58</v>
      </c>
      <c r="W219">
        <v>2</v>
      </c>
      <c r="X219" t="s">
        <v>59</v>
      </c>
      <c r="Y219">
        <v>0</v>
      </c>
      <c r="Z219" t="s">
        <v>60</v>
      </c>
      <c r="AA219">
        <v>1</v>
      </c>
      <c r="AB219" t="s">
        <v>60</v>
      </c>
      <c r="AC219">
        <v>1</v>
      </c>
      <c r="AD219" t="s">
        <v>59</v>
      </c>
      <c r="AE219">
        <v>0</v>
      </c>
      <c r="AF219" t="s">
        <v>60</v>
      </c>
      <c r="AG219">
        <v>1</v>
      </c>
      <c r="AH219" t="s">
        <v>59</v>
      </c>
      <c r="AI219">
        <v>0</v>
      </c>
      <c r="AJ219" t="s">
        <v>59</v>
      </c>
      <c r="AK219">
        <v>0</v>
      </c>
      <c r="AL219" t="s">
        <v>58</v>
      </c>
      <c r="AM219">
        <v>2</v>
      </c>
      <c r="AN219" t="s">
        <v>60</v>
      </c>
      <c r="AO219">
        <v>1</v>
      </c>
      <c r="AP219" t="s">
        <v>59</v>
      </c>
      <c r="AQ219">
        <v>0</v>
      </c>
      <c r="AR219" t="s">
        <v>59</v>
      </c>
      <c r="AS219">
        <v>0</v>
      </c>
      <c r="AT219" t="s">
        <v>58</v>
      </c>
      <c r="AU219">
        <v>2</v>
      </c>
      <c r="AV219">
        <f t="shared" si="3"/>
        <v>12</v>
      </c>
      <c r="AW219" t="str">
        <f>IF(Table1[[#This Row],[Pontuação final]]&lt;=2,"Nenhum", IF(Table1[[#This Row],[Pontuação final]]&lt;=12,"Leve", IF(Table1[[#This Row],[Pontuação final]]&lt;=22,"Moderado", "Grave")))</f>
        <v>Leve</v>
      </c>
    </row>
    <row r="220" spans="1:49" x14ac:dyDescent="0.3">
      <c r="A220">
        <v>220</v>
      </c>
      <c r="B220" t="s">
        <v>49</v>
      </c>
      <c r="C220" s="1">
        <v>21</v>
      </c>
      <c r="D220" s="1">
        <v>80</v>
      </c>
      <c r="E220">
        <v>1.8</v>
      </c>
      <c r="F220" t="s">
        <v>50</v>
      </c>
      <c r="G220" t="s">
        <v>90</v>
      </c>
      <c r="H220" t="s">
        <v>52</v>
      </c>
      <c r="I220" t="s">
        <v>62</v>
      </c>
      <c r="K220" t="s">
        <v>63</v>
      </c>
      <c r="L220" t="s">
        <v>55</v>
      </c>
      <c r="M220" t="s">
        <v>64</v>
      </c>
      <c r="O220" t="s">
        <v>57</v>
      </c>
      <c r="P220" t="s">
        <v>60</v>
      </c>
      <c r="Q220">
        <v>1</v>
      </c>
      <c r="R220" t="s">
        <v>59</v>
      </c>
      <c r="S220">
        <v>0</v>
      </c>
      <c r="T220" t="s">
        <v>59</v>
      </c>
      <c r="U220">
        <v>0</v>
      </c>
      <c r="V220" t="s">
        <v>60</v>
      </c>
      <c r="W220">
        <v>1</v>
      </c>
      <c r="X220" t="s">
        <v>59</v>
      </c>
      <c r="Y220">
        <v>0</v>
      </c>
      <c r="Z220" t="s">
        <v>59</v>
      </c>
      <c r="AA220">
        <v>0</v>
      </c>
      <c r="AB220" t="s">
        <v>59</v>
      </c>
      <c r="AC220">
        <v>0</v>
      </c>
      <c r="AD220" t="s">
        <v>59</v>
      </c>
      <c r="AE220">
        <v>0</v>
      </c>
      <c r="AF220" t="s">
        <v>60</v>
      </c>
      <c r="AG220">
        <v>1</v>
      </c>
      <c r="AH220" t="s">
        <v>58</v>
      </c>
      <c r="AI220">
        <v>2</v>
      </c>
      <c r="AJ220" t="s">
        <v>58</v>
      </c>
      <c r="AK220">
        <v>2</v>
      </c>
      <c r="AL220" t="s">
        <v>60</v>
      </c>
      <c r="AM220">
        <v>1</v>
      </c>
      <c r="AN220" t="s">
        <v>60</v>
      </c>
      <c r="AO220">
        <v>1</v>
      </c>
      <c r="AP220" t="s">
        <v>59</v>
      </c>
      <c r="AQ220">
        <v>0</v>
      </c>
      <c r="AR220" t="s">
        <v>59</v>
      </c>
      <c r="AS220">
        <v>0</v>
      </c>
      <c r="AT220" t="s">
        <v>60</v>
      </c>
      <c r="AU220">
        <v>1</v>
      </c>
      <c r="AV220">
        <f t="shared" si="3"/>
        <v>10</v>
      </c>
      <c r="AW220" t="str">
        <f>IF(Table1[[#This Row],[Pontuação final]]&lt;=2,"Nenhum", IF(Table1[[#This Row],[Pontuação final]]&lt;=12,"Leve", IF(Table1[[#This Row],[Pontuação final]]&lt;=22,"Moderado", "Grave")))</f>
        <v>Leve</v>
      </c>
    </row>
    <row r="221" spans="1:49" x14ac:dyDescent="0.3">
      <c r="A221">
        <v>221</v>
      </c>
      <c r="B221" t="s">
        <v>49</v>
      </c>
      <c r="C221" s="1">
        <v>18</v>
      </c>
      <c r="D221" s="1">
        <v>56</v>
      </c>
      <c r="E221">
        <v>1.67</v>
      </c>
      <c r="F221" t="s">
        <v>61</v>
      </c>
      <c r="G221" t="s">
        <v>79</v>
      </c>
      <c r="H221" t="s">
        <v>68</v>
      </c>
      <c r="I221" t="s">
        <v>72</v>
      </c>
      <c r="K221" t="s">
        <v>70</v>
      </c>
      <c r="L221" t="s">
        <v>55</v>
      </c>
      <c r="M221" t="s">
        <v>64</v>
      </c>
      <c r="O221" t="s">
        <v>57</v>
      </c>
      <c r="P221" t="s">
        <v>60</v>
      </c>
      <c r="Q221">
        <v>1</v>
      </c>
      <c r="R221" t="s">
        <v>59</v>
      </c>
      <c r="S221">
        <v>0</v>
      </c>
      <c r="T221" t="s">
        <v>58</v>
      </c>
      <c r="U221">
        <v>2</v>
      </c>
      <c r="V221" t="s">
        <v>60</v>
      </c>
      <c r="W221">
        <v>1</v>
      </c>
      <c r="X221" t="s">
        <v>59</v>
      </c>
      <c r="Y221">
        <v>0</v>
      </c>
      <c r="Z221" t="s">
        <v>60</v>
      </c>
      <c r="AA221">
        <v>1</v>
      </c>
      <c r="AB221" t="s">
        <v>60</v>
      </c>
      <c r="AC221">
        <v>1</v>
      </c>
      <c r="AD221" t="s">
        <v>60</v>
      </c>
      <c r="AE221">
        <v>1</v>
      </c>
      <c r="AF221" t="s">
        <v>60</v>
      </c>
      <c r="AG221">
        <v>1</v>
      </c>
      <c r="AH221" t="s">
        <v>59</v>
      </c>
      <c r="AI221">
        <v>0</v>
      </c>
      <c r="AJ221" t="s">
        <v>59</v>
      </c>
      <c r="AK221">
        <v>0</v>
      </c>
      <c r="AL221" t="s">
        <v>59</v>
      </c>
      <c r="AM221">
        <v>0</v>
      </c>
      <c r="AN221" t="s">
        <v>59</v>
      </c>
      <c r="AO221">
        <v>0</v>
      </c>
      <c r="AP221" t="s">
        <v>59</v>
      </c>
      <c r="AQ221">
        <v>0</v>
      </c>
      <c r="AR221" t="s">
        <v>59</v>
      </c>
      <c r="AS221">
        <v>0</v>
      </c>
      <c r="AT221" t="s">
        <v>60</v>
      </c>
      <c r="AU221">
        <v>1</v>
      </c>
      <c r="AV221">
        <f t="shared" si="3"/>
        <v>9</v>
      </c>
      <c r="AW221" t="str">
        <f>IF(Table1[[#This Row],[Pontuação final]]&lt;=2,"Nenhum", IF(Table1[[#This Row],[Pontuação final]]&lt;=12,"Leve", IF(Table1[[#This Row],[Pontuação final]]&lt;=22,"Moderado", "Grave")))</f>
        <v>Leve</v>
      </c>
    </row>
    <row r="222" spans="1:49" x14ac:dyDescent="0.3">
      <c r="A222">
        <v>222</v>
      </c>
      <c r="B222" t="s">
        <v>49</v>
      </c>
      <c r="C222" s="1">
        <v>22</v>
      </c>
      <c r="D222" s="1">
        <v>80</v>
      </c>
      <c r="E222" s="1">
        <v>1.86</v>
      </c>
      <c r="F222" t="s">
        <v>104</v>
      </c>
      <c r="G222" t="s">
        <v>77</v>
      </c>
      <c r="H222" t="s">
        <v>52</v>
      </c>
      <c r="I222" t="s">
        <v>72</v>
      </c>
      <c r="K222" t="s">
        <v>227</v>
      </c>
      <c r="L222" t="s">
        <v>74</v>
      </c>
      <c r="M222" t="s">
        <v>56</v>
      </c>
      <c r="O222" t="s">
        <v>82</v>
      </c>
      <c r="P222" t="s">
        <v>60</v>
      </c>
      <c r="Q222">
        <v>1</v>
      </c>
      <c r="R222" t="s">
        <v>58</v>
      </c>
      <c r="S222">
        <v>2</v>
      </c>
      <c r="T222" t="s">
        <v>59</v>
      </c>
      <c r="U222">
        <v>0</v>
      </c>
      <c r="V222" t="s">
        <v>58</v>
      </c>
      <c r="W222">
        <v>2</v>
      </c>
      <c r="X222" t="s">
        <v>60</v>
      </c>
      <c r="Y222">
        <v>1</v>
      </c>
      <c r="Z222" t="s">
        <v>59</v>
      </c>
      <c r="AA222">
        <v>0</v>
      </c>
      <c r="AB222" t="s">
        <v>59</v>
      </c>
      <c r="AC222">
        <v>0</v>
      </c>
      <c r="AD222" t="s">
        <v>59</v>
      </c>
      <c r="AE222">
        <v>0</v>
      </c>
      <c r="AF222" t="s">
        <v>58</v>
      </c>
      <c r="AG222">
        <v>2</v>
      </c>
      <c r="AH222" t="s">
        <v>58</v>
      </c>
      <c r="AI222">
        <v>2</v>
      </c>
      <c r="AJ222" t="s">
        <v>60</v>
      </c>
      <c r="AK222">
        <v>1</v>
      </c>
      <c r="AL222" t="s">
        <v>58</v>
      </c>
      <c r="AM222">
        <v>2</v>
      </c>
      <c r="AN222" t="s">
        <v>59</v>
      </c>
      <c r="AO222">
        <v>0</v>
      </c>
      <c r="AP222" t="s">
        <v>60</v>
      </c>
      <c r="AQ222">
        <v>1</v>
      </c>
      <c r="AR222" t="s">
        <v>59</v>
      </c>
      <c r="AS222">
        <v>0</v>
      </c>
      <c r="AT222" t="s">
        <v>58</v>
      </c>
      <c r="AU222">
        <v>2</v>
      </c>
      <c r="AV222">
        <f t="shared" si="3"/>
        <v>16</v>
      </c>
      <c r="AW222" t="str">
        <f>IF(Table1[[#This Row],[Pontuação final]]&lt;=2,"Nenhum", IF(Table1[[#This Row],[Pontuação final]]&lt;=12,"Leve", IF(Table1[[#This Row],[Pontuação final]]&lt;=22,"Moderado", "Grave")))</f>
        <v>Moderado</v>
      </c>
    </row>
    <row r="223" spans="1:49" x14ac:dyDescent="0.3">
      <c r="A223">
        <v>223</v>
      </c>
      <c r="B223" t="s">
        <v>49</v>
      </c>
      <c r="C223" s="1">
        <v>21</v>
      </c>
      <c r="D223" s="1">
        <v>80</v>
      </c>
      <c r="E223" s="1">
        <v>1.92</v>
      </c>
      <c r="F223" t="s">
        <v>61</v>
      </c>
      <c r="G223" t="s">
        <v>71</v>
      </c>
      <c r="H223" t="s">
        <v>68</v>
      </c>
      <c r="I223" t="s">
        <v>72</v>
      </c>
      <c r="K223" t="s">
        <v>70</v>
      </c>
      <c r="L223" t="s">
        <v>55</v>
      </c>
      <c r="M223" t="s">
        <v>64</v>
      </c>
      <c r="O223" t="s">
        <v>57</v>
      </c>
      <c r="P223" t="s">
        <v>60</v>
      </c>
      <c r="Q223">
        <v>1</v>
      </c>
      <c r="R223" t="s">
        <v>59</v>
      </c>
      <c r="S223">
        <v>0</v>
      </c>
      <c r="T223" t="s">
        <v>59</v>
      </c>
      <c r="U223">
        <v>0</v>
      </c>
      <c r="V223" t="s">
        <v>60</v>
      </c>
      <c r="W223">
        <v>1</v>
      </c>
      <c r="X223" t="s">
        <v>60</v>
      </c>
      <c r="Y223">
        <v>1</v>
      </c>
      <c r="Z223" t="s">
        <v>59</v>
      </c>
      <c r="AA223">
        <v>0</v>
      </c>
      <c r="AB223" t="s">
        <v>60</v>
      </c>
      <c r="AC223">
        <v>1</v>
      </c>
      <c r="AD223" t="s">
        <v>60</v>
      </c>
      <c r="AE223">
        <v>1</v>
      </c>
      <c r="AF223" t="s">
        <v>58</v>
      </c>
      <c r="AG223">
        <v>2</v>
      </c>
      <c r="AH223" t="s">
        <v>60</v>
      </c>
      <c r="AI223">
        <v>1</v>
      </c>
      <c r="AJ223" t="s">
        <v>59</v>
      </c>
      <c r="AK223">
        <v>0</v>
      </c>
      <c r="AL223" t="s">
        <v>60</v>
      </c>
      <c r="AM223">
        <v>1</v>
      </c>
      <c r="AN223" t="s">
        <v>60</v>
      </c>
      <c r="AO223">
        <v>1</v>
      </c>
      <c r="AP223" t="s">
        <v>60</v>
      </c>
      <c r="AQ223">
        <v>1</v>
      </c>
      <c r="AR223" t="s">
        <v>59</v>
      </c>
      <c r="AS223">
        <v>0</v>
      </c>
      <c r="AT223" t="s">
        <v>60</v>
      </c>
      <c r="AU223">
        <v>1</v>
      </c>
      <c r="AV223">
        <f t="shared" si="3"/>
        <v>12</v>
      </c>
      <c r="AW223" t="str">
        <f>IF(Table1[[#This Row],[Pontuação final]]&lt;=2,"Nenhum", IF(Table1[[#This Row],[Pontuação final]]&lt;=12,"Leve", IF(Table1[[#This Row],[Pontuação final]]&lt;=22,"Moderado", "Grave")))</f>
        <v>Leve</v>
      </c>
    </row>
    <row r="224" spans="1:49" x14ac:dyDescent="0.3">
      <c r="A224">
        <v>224</v>
      </c>
      <c r="B224" t="s">
        <v>66</v>
      </c>
      <c r="C224" s="1">
        <v>19</v>
      </c>
      <c r="D224" s="1">
        <v>88</v>
      </c>
      <c r="E224">
        <v>1.9</v>
      </c>
      <c r="F224" t="s">
        <v>61</v>
      </c>
      <c r="G224" t="s">
        <v>77</v>
      </c>
      <c r="H224" t="s">
        <v>68</v>
      </c>
      <c r="I224" t="s">
        <v>62</v>
      </c>
      <c r="K224" t="s">
        <v>54</v>
      </c>
      <c r="L224" t="s">
        <v>55</v>
      </c>
      <c r="M224" t="s">
        <v>56</v>
      </c>
      <c r="O224" t="s">
        <v>57</v>
      </c>
      <c r="P224" t="s">
        <v>58</v>
      </c>
      <c r="Q224">
        <v>2</v>
      </c>
      <c r="R224" t="s">
        <v>58</v>
      </c>
      <c r="S224">
        <v>2</v>
      </c>
      <c r="T224" t="s">
        <v>58</v>
      </c>
      <c r="U224">
        <v>2</v>
      </c>
      <c r="V224" t="s">
        <v>60</v>
      </c>
      <c r="W224">
        <v>1</v>
      </c>
      <c r="X224" t="s">
        <v>59</v>
      </c>
      <c r="Y224">
        <v>0</v>
      </c>
      <c r="Z224" t="s">
        <v>59</v>
      </c>
      <c r="AA224">
        <v>0</v>
      </c>
      <c r="AB224" t="s">
        <v>59</v>
      </c>
      <c r="AC224">
        <v>0</v>
      </c>
      <c r="AD224" t="s">
        <v>59</v>
      </c>
      <c r="AE224">
        <v>0</v>
      </c>
      <c r="AF224" t="s">
        <v>58</v>
      </c>
      <c r="AG224">
        <v>2</v>
      </c>
      <c r="AH224" t="s">
        <v>58</v>
      </c>
      <c r="AI224">
        <v>2</v>
      </c>
      <c r="AJ224" t="s">
        <v>58</v>
      </c>
      <c r="AK224">
        <v>2</v>
      </c>
      <c r="AL224" t="s">
        <v>60</v>
      </c>
      <c r="AM224">
        <v>1</v>
      </c>
      <c r="AN224" t="s">
        <v>60</v>
      </c>
      <c r="AO224">
        <v>1</v>
      </c>
      <c r="AP224" t="s">
        <v>60</v>
      </c>
      <c r="AQ224">
        <v>1</v>
      </c>
      <c r="AR224" t="s">
        <v>59</v>
      </c>
      <c r="AS224">
        <v>0</v>
      </c>
      <c r="AT224" t="s">
        <v>58</v>
      </c>
      <c r="AU224">
        <v>2</v>
      </c>
      <c r="AV224">
        <f t="shared" si="3"/>
        <v>18</v>
      </c>
      <c r="AW224" t="str">
        <f>IF(Table1[[#This Row],[Pontuação final]]&lt;=2,"Nenhum", IF(Table1[[#This Row],[Pontuação final]]&lt;=12,"Leve", IF(Table1[[#This Row],[Pontuação final]]&lt;=22,"Moderado", "Grave")))</f>
        <v>Moderado</v>
      </c>
    </row>
    <row r="225" spans="1:49" x14ac:dyDescent="0.3">
      <c r="A225">
        <v>225</v>
      </c>
      <c r="B225" t="s">
        <v>49</v>
      </c>
      <c r="C225" s="1">
        <v>17</v>
      </c>
      <c r="D225" s="1">
        <v>65</v>
      </c>
      <c r="E225" s="1">
        <v>1.75</v>
      </c>
      <c r="F225" t="s">
        <v>111</v>
      </c>
      <c r="G225" t="s">
        <v>79</v>
      </c>
      <c r="H225" t="s">
        <v>52</v>
      </c>
      <c r="I225" t="s">
        <v>62</v>
      </c>
      <c r="K225" t="s">
        <v>241</v>
      </c>
      <c r="L225" t="s">
        <v>74</v>
      </c>
      <c r="M225" t="s">
        <v>56</v>
      </c>
      <c r="O225" t="s">
        <v>65</v>
      </c>
      <c r="P225" t="s">
        <v>60</v>
      </c>
      <c r="Q225">
        <v>1</v>
      </c>
      <c r="R225" t="s">
        <v>60</v>
      </c>
      <c r="S225">
        <v>1</v>
      </c>
      <c r="T225" t="s">
        <v>59</v>
      </c>
      <c r="U225">
        <v>0</v>
      </c>
      <c r="V225" t="s">
        <v>60</v>
      </c>
      <c r="W225">
        <v>1</v>
      </c>
      <c r="X225" t="s">
        <v>59</v>
      </c>
      <c r="Y225">
        <v>0</v>
      </c>
      <c r="Z225" t="s">
        <v>59</v>
      </c>
      <c r="AA225">
        <v>0</v>
      </c>
      <c r="AB225" t="s">
        <v>60</v>
      </c>
      <c r="AC225">
        <v>1</v>
      </c>
      <c r="AD225" t="s">
        <v>59</v>
      </c>
      <c r="AE225">
        <v>0</v>
      </c>
      <c r="AF225" t="s">
        <v>60</v>
      </c>
      <c r="AG225">
        <v>1</v>
      </c>
      <c r="AH225" t="s">
        <v>58</v>
      </c>
      <c r="AI225">
        <v>2</v>
      </c>
      <c r="AJ225" t="s">
        <v>59</v>
      </c>
      <c r="AK225">
        <v>0</v>
      </c>
      <c r="AL225" t="s">
        <v>58</v>
      </c>
      <c r="AM225">
        <v>2</v>
      </c>
      <c r="AN225" t="s">
        <v>60</v>
      </c>
      <c r="AO225">
        <v>1</v>
      </c>
      <c r="AP225" t="s">
        <v>59</v>
      </c>
      <c r="AQ225">
        <v>0</v>
      </c>
      <c r="AR225" t="s">
        <v>59</v>
      </c>
      <c r="AS225">
        <v>0</v>
      </c>
      <c r="AT225" t="s">
        <v>60</v>
      </c>
      <c r="AU225">
        <v>1</v>
      </c>
      <c r="AV225">
        <f t="shared" si="3"/>
        <v>11</v>
      </c>
      <c r="AW225" t="str">
        <f>IF(Table1[[#This Row],[Pontuação final]]&lt;=2,"Nenhum", IF(Table1[[#This Row],[Pontuação final]]&lt;=12,"Leve", IF(Table1[[#This Row],[Pontuação final]]&lt;=22,"Moderado", "Grave")))</f>
        <v>Leve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3A58-15DF-4E87-ABCF-F39DEE24F2E1}">
  <dimension ref="B1:D11"/>
  <sheetViews>
    <sheetView tabSelected="1" zoomScale="52" workbookViewId="0">
      <selection activeCell="I40" sqref="I40"/>
    </sheetView>
  </sheetViews>
  <sheetFormatPr defaultRowHeight="14.4" x14ac:dyDescent="0.3"/>
  <cols>
    <col min="1" max="1" width="8.6640625" customWidth="1"/>
    <col min="2" max="2" width="33" customWidth="1"/>
  </cols>
  <sheetData>
    <row r="1" spans="2:4" ht="11.4" customHeight="1" x14ac:dyDescent="0.3">
      <c r="B1" s="9"/>
      <c r="C1" s="9"/>
      <c r="D1" s="9"/>
    </row>
    <row r="2" spans="2:4" ht="43.8" customHeight="1" x14ac:dyDescent="0.3">
      <c r="B2" s="10" t="s">
        <v>246</v>
      </c>
      <c r="C2" s="10"/>
      <c r="D2" s="10"/>
    </row>
    <row r="3" spans="2:4" x14ac:dyDescent="0.3">
      <c r="B3" s="6" t="s">
        <v>242</v>
      </c>
      <c r="C3" s="8" t="s">
        <v>244</v>
      </c>
      <c r="D3" s="8" t="s">
        <v>245</v>
      </c>
    </row>
    <row r="4" spans="2:4" x14ac:dyDescent="0.3">
      <c r="B4" t="s">
        <v>111</v>
      </c>
      <c r="C4">
        <f>COUNTIF(Table1[Curso:],Mayara!B4)</f>
        <v>19</v>
      </c>
      <c r="D4" s="5">
        <f>$C4/$C$11</f>
        <v>8.4821428571428575E-2</v>
      </c>
    </row>
    <row r="5" spans="2:4" x14ac:dyDescent="0.3">
      <c r="B5" t="s">
        <v>50</v>
      </c>
      <c r="C5">
        <f>COUNTIF(Table1[Curso:],Mayara!B5)</f>
        <v>57</v>
      </c>
      <c r="D5" s="5">
        <f t="shared" ref="D5:D10" si="0">$C5/$C$11</f>
        <v>0.2544642857142857</v>
      </c>
    </row>
    <row r="6" spans="2:4" x14ac:dyDescent="0.3">
      <c r="B6" t="s">
        <v>94</v>
      </c>
      <c r="C6">
        <f>COUNTIF(Table1[Curso:],Mayara!B6)</f>
        <v>15</v>
      </c>
      <c r="D6" s="5">
        <f t="shared" si="0"/>
        <v>6.6964285714285712E-2</v>
      </c>
    </row>
    <row r="7" spans="2:4" x14ac:dyDescent="0.3">
      <c r="B7" t="s">
        <v>119</v>
      </c>
      <c r="C7">
        <f>COUNTIF(Table1[Curso:],Mayara!B7)</f>
        <v>7</v>
      </c>
      <c r="D7" s="5">
        <f t="shared" si="0"/>
        <v>3.125E-2</v>
      </c>
    </row>
    <row r="8" spans="2:4" x14ac:dyDescent="0.3">
      <c r="B8" t="s">
        <v>61</v>
      </c>
      <c r="C8">
        <f>COUNTIF(Table1[Curso:],Mayara!B8)</f>
        <v>88</v>
      </c>
      <c r="D8" s="5">
        <f t="shared" si="0"/>
        <v>0.39285714285714285</v>
      </c>
    </row>
    <row r="9" spans="2:4" x14ac:dyDescent="0.3">
      <c r="B9" t="s">
        <v>76</v>
      </c>
      <c r="C9">
        <f>COUNTIF(Table1[Curso:],Mayara!B9)</f>
        <v>28</v>
      </c>
      <c r="D9" s="5">
        <f t="shared" si="0"/>
        <v>0.125</v>
      </c>
    </row>
    <row r="10" spans="2:4" x14ac:dyDescent="0.3">
      <c r="B10" t="s">
        <v>104</v>
      </c>
      <c r="C10">
        <f>COUNTIF(Table1[Curso:],Mayara!B10)</f>
        <v>10</v>
      </c>
      <c r="D10" s="5">
        <f t="shared" si="0"/>
        <v>4.4642857142857144E-2</v>
      </c>
    </row>
    <row r="11" spans="2:4" x14ac:dyDescent="0.3">
      <c r="B11" s="6" t="s">
        <v>243</v>
      </c>
      <c r="C11" s="6">
        <f>SUM(C4:C10)</f>
        <v>224</v>
      </c>
      <c r="D11" s="7">
        <f>SUM(D4:D10)</f>
        <v>0.99999999999999989</v>
      </c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4256952E198F4B9FD77231F1B3BB85" ma:contentTypeVersion="3" ma:contentTypeDescription="Crie um novo documento." ma:contentTypeScope="" ma:versionID="a9cc3f523c1069a92b43bb0aec3b38d4">
  <xsd:schema xmlns:xsd="http://www.w3.org/2001/XMLSchema" xmlns:xs="http://www.w3.org/2001/XMLSchema" xmlns:p="http://schemas.microsoft.com/office/2006/metadata/properties" xmlns:ns2="9166a496-37a2-460a-9a02-28fc38d08d4b" targetNamespace="http://schemas.microsoft.com/office/2006/metadata/properties" ma:root="true" ma:fieldsID="3dc2b348928449b1e2c43ba906151c52" ns2:_="">
    <xsd:import namespace="9166a496-37a2-460a-9a02-28fc38d08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a496-37a2-460a-9a02-28fc38d08d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2A75E0-2F36-40E3-A3CC-3BA027E4B3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B103F94-DE07-4319-8E7B-679D4818B1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C86ABC-09A1-4FE4-9744-FEC2679A1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a496-37a2-460a-9a02-28fc38d08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Mayara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Perez Mokarzel Carneiro</dc:creator>
  <cp:keywords/>
  <dc:description/>
  <cp:lastModifiedBy>MAYARA CRISTINA ANANIAS RIBEIRO</cp:lastModifiedBy>
  <cp:revision/>
  <dcterms:created xsi:type="dcterms:W3CDTF">2025-02-18T20:33:07Z</dcterms:created>
  <dcterms:modified xsi:type="dcterms:W3CDTF">2026-10-15T13:03:21Z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0x010100C24256952E198F4B9FD77231F1B3BB85</vt:lpwstr>
  </property>
</Properties>
</file>