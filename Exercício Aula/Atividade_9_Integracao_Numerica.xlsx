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7CEB771-F801-4F25-9ED3-490F27525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gracao Numer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B28" i="1"/>
  <c r="F20" i="1"/>
  <c r="B18" i="1"/>
  <c r="B13" i="1"/>
  <c r="B12" i="1"/>
  <c r="F11" i="1"/>
  <c r="F12" i="1" s="1"/>
  <c r="C5" i="1" l="1"/>
  <c r="F13" i="1"/>
  <c r="D5" i="1" s="1"/>
  <c r="A29" i="1"/>
  <c r="A19" i="1"/>
  <c r="A20" i="1" l="1"/>
  <c r="B19" i="1"/>
  <c r="A30" i="1"/>
  <c r="B29" i="1"/>
  <c r="B30" i="1" l="1"/>
  <c r="A31" i="1"/>
  <c r="A21" i="1"/>
  <c r="B20" i="1"/>
  <c r="A32" i="1" l="1"/>
  <c r="B31" i="1"/>
  <c r="A22" i="1"/>
  <c r="B21" i="1"/>
  <c r="A23" i="1" l="1"/>
  <c r="B23" i="1" s="1"/>
  <c r="B22" i="1"/>
  <c r="A33" i="1"/>
  <c r="B32" i="1"/>
  <c r="A34" i="1" l="1"/>
  <c r="B34" i="1" s="1"/>
  <c r="B33" i="1"/>
  <c r="F22" i="1"/>
  <c r="C6" i="1" l="1"/>
  <c r="F23" i="1"/>
  <c r="D6" i="1" s="1"/>
  <c r="F32" i="1"/>
  <c r="F33" i="1" l="1"/>
  <c r="D7" i="1" s="1"/>
  <c r="C7" i="1"/>
</calcChain>
</file>

<file path=xl/sharedStrings.xml><?xml version="1.0" encoding="utf-8"?>
<sst xmlns="http://schemas.openxmlformats.org/spreadsheetml/2006/main" count="36" uniqueCount="21">
  <si>
    <t>Atividade 9 - Integração Numérica: ∫₀¹ e^x dx</t>
  </si>
  <si>
    <t>Valor analítico</t>
  </si>
  <si>
    <t>Método</t>
  </si>
  <si>
    <t>Intervalos (n)</t>
  </si>
  <si>
    <t>Aproximação</t>
  </si>
  <si>
    <t>Erro absoluto</t>
  </si>
  <si>
    <t>Trapézio simples</t>
  </si>
  <si>
    <t>Trapézios repetidos</t>
  </si>
  <si>
    <t>Simpson 1/3 repetida</t>
  </si>
  <si>
    <t>TRAPÉZIO SIMPLES</t>
  </si>
  <si>
    <t>x</t>
  </si>
  <si>
    <t>f(x)=EXP(x)</t>
  </si>
  <si>
    <t>Coeficiente</t>
  </si>
  <si>
    <t>h</t>
  </si>
  <si>
    <t>Resultado</t>
  </si>
  <si>
    <t>Erro</t>
  </si>
  <si>
    <t>TRAPÉZIOS REPETIDOS (n=5)</t>
  </si>
  <si>
    <t>a</t>
  </si>
  <si>
    <t>b</t>
  </si>
  <si>
    <t>n</t>
  </si>
  <si>
    <t>SIMPSON 1/3 REPETIDA (n=6)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</si>
</sst>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0" fontId="2" fillId="3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164" fontId="0" fillId="2" borderId="0" xfId="0" applyNumberFormat="1" applyFill="1" applyAlignment="1">
      <alignment horizontal="left" wrapText="1"/>
    </xf>
    <xf numFmtId="164" fontId="0" fillId="0" borderId="0" xfId="0" applyNumberFormat="1" applyAlignment="1">
      <alignment horizontal="left" wrapText="1"/>
    </xf>
    <xf numFmtId="164" fontId="2" fillId="3" borderId="0" xfId="0" applyNumberFormat="1" applyFont="1" applyFill="1" applyAlignment="1">
      <alignment horizontal="left" wrapText="1"/>
    </xf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3" sqref="A3"/>
    </sheetView>
  </sheetViews>
  <sheetFormatPr defaultRowHeight="13.8"/>
  <cols>
    <col min="1" max="1" width="29.3984375" customWidth="1"/>
    <col min="2" max="4" width="18" customWidth="1"/>
    <col min="5" max="6" width="16" customWidth="1"/>
  </cols>
  <sheetData>
    <row r="1" spans="1:6" ht="15.3" customHeight="1">
      <c r="A1" s="4" t="s">
        <v>0</v>
      </c>
      <c r="B1" s="3"/>
      <c r="C1" s="3"/>
      <c r="D1" s="3"/>
      <c r="E1" s="3"/>
      <c r="F1" s="3"/>
    </row>
    <row r="2" spans="1:6" ht="12" customHeight="1">
      <c r="A2" s="16" t="s">
        <v>1</v>
      </c>
      <c r="B2" s="17">
        <v>1.7182820000000001</v>
      </c>
      <c r="C2" s="1"/>
      <c r="D2" s="1"/>
      <c r="E2" s="1"/>
      <c r="F2" s="1"/>
    </row>
    <row r="3" spans="1:6" ht="12" customHeight="1">
      <c r="A3" s="2"/>
      <c r="B3" s="1"/>
      <c r="C3" s="1"/>
      <c r="D3" s="1"/>
      <c r="E3" s="1"/>
      <c r="F3" s="1"/>
    </row>
    <row r="4" spans="1:6" ht="12" customHeight="1">
      <c r="A4" s="7" t="s">
        <v>2</v>
      </c>
      <c r="B4" s="8" t="s">
        <v>3</v>
      </c>
      <c r="C4" s="8" t="s">
        <v>4</v>
      </c>
      <c r="D4" s="8" t="s">
        <v>5</v>
      </c>
      <c r="E4" s="1"/>
      <c r="F4" s="1"/>
    </row>
    <row r="5" spans="1:6" ht="12" customHeight="1">
      <c r="A5" s="9" t="s">
        <v>6</v>
      </c>
      <c r="B5" s="10">
        <v>1</v>
      </c>
      <c r="C5" s="10">
        <f>F12</f>
        <v>1.8591409142295225</v>
      </c>
      <c r="D5" s="10">
        <f>F13</f>
        <v>0.14085891422952246</v>
      </c>
      <c r="E5" s="1"/>
      <c r="F5" s="1"/>
    </row>
    <row r="6" spans="1:6" ht="12" customHeight="1">
      <c r="A6" s="9" t="s">
        <v>7</v>
      </c>
      <c r="B6" s="10">
        <v>5</v>
      </c>
      <c r="C6" s="10">
        <f>F22</f>
        <v>1.724005619782788</v>
      </c>
      <c r="D6" s="10">
        <f>F23</f>
        <v>5.7236197827879032E-3</v>
      </c>
      <c r="E6" s="1"/>
      <c r="F6" s="1"/>
    </row>
    <row r="7" spans="1:6" ht="12" customHeight="1">
      <c r="A7" s="9" t="s">
        <v>8</v>
      </c>
      <c r="B7" s="10">
        <v>6</v>
      </c>
      <c r="C7" s="10">
        <f>F32</f>
        <v>1.7182891699208316</v>
      </c>
      <c r="D7" s="10">
        <f>F33</f>
        <v>7.1699208314957019E-6</v>
      </c>
      <c r="E7" s="1"/>
      <c r="F7" s="1"/>
    </row>
    <row r="8" spans="1:6" ht="12" customHeight="1">
      <c r="A8" s="2"/>
      <c r="B8" s="1"/>
      <c r="C8" s="1"/>
      <c r="D8" s="1"/>
      <c r="E8" s="1"/>
      <c r="F8" s="1"/>
    </row>
    <row r="9" spans="1:6" ht="12" customHeight="1">
      <c r="A9" s="2"/>
      <c r="B9" s="1"/>
      <c r="C9" s="1"/>
      <c r="D9" s="1"/>
      <c r="E9" s="1"/>
      <c r="F9" s="1"/>
    </row>
    <row r="10" spans="1:6" ht="12" customHeight="1">
      <c r="A10" s="5" t="s">
        <v>9</v>
      </c>
      <c r="B10" s="6"/>
      <c r="C10" s="6"/>
      <c r="D10" s="6"/>
      <c r="E10" s="6"/>
      <c r="F10" s="6"/>
    </row>
    <row r="11" spans="1:6" ht="12" customHeight="1">
      <c r="A11" s="11" t="s">
        <v>10</v>
      </c>
      <c r="B11" s="12" t="s">
        <v>11</v>
      </c>
      <c r="C11" s="12" t="s">
        <v>12</v>
      </c>
      <c r="D11" s="1"/>
      <c r="E11" s="13" t="s">
        <v>13</v>
      </c>
      <c r="F11" s="13">
        <f>(A13-A12)</f>
        <v>1</v>
      </c>
    </row>
    <row r="12" spans="1:6" ht="12" customHeight="1">
      <c r="A12" s="9">
        <v>0</v>
      </c>
      <c r="B12" s="10">
        <f>EXP(A12)</f>
        <v>1</v>
      </c>
      <c r="C12" s="10">
        <v>1</v>
      </c>
      <c r="D12" s="1"/>
      <c r="E12" s="13" t="s">
        <v>14</v>
      </c>
      <c r="F12" s="13">
        <f>F11/2*(B12+B13)</f>
        <v>1.8591409142295225</v>
      </c>
    </row>
    <row r="13" spans="1:6" ht="12" customHeight="1">
      <c r="A13" s="9">
        <v>1</v>
      </c>
      <c r="B13" s="10">
        <f>EXP(A13)</f>
        <v>2.7182818284590451</v>
      </c>
      <c r="C13" s="10">
        <v>1</v>
      </c>
      <c r="D13" s="1"/>
      <c r="E13" s="13" t="s">
        <v>15</v>
      </c>
      <c r="F13" s="13">
        <f>ABS($B$2-F12)</f>
        <v>0.14085891422952246</v>
      </c>
    </row>
    <row r="14" spans="1:6" ht="12" customHeight="1">
      <c r="A14" s="9"/>
      <c r="B14" s="10"/>
      <c r="C14" s="10"/>
      <c r="D14" s="1"/>
      <c r="E14" s="14"/>
      <c r="F14" s="14"/>
    </row>
    <row r="15" spans="1:6" ht="12" customHeight="1">
      <c r="A15" s="2"/>
      <c r="B15" s="1"/>
      <c r="C15" s="1"/>
      <c r="D15" s="1"/>
      <c r="E15" s="14"/>
      <c r="F15" s="14"/>
    </row>
    <row r="16" spans="1:6" ht="12" customHeight="1">
      <c r="A16" s="5" t="s">
        <v>16</v>
      </c>
      <c r="B16" s="6"/>
      <c r="C16" s="6"/>
      <c r="D16" s="6"/>
      <c r="E16" s="15"/>
      <c r="F16" s="15"/>
    </row>
    <row r="17" spans="1:6" ht="12" customHeight="1">
      <c r="A17" s="11" t="s">
        <v>10</v>
      </c>
      <c r="B17" s="12" t="s">
        <v>11</v>
      </c>
      <c r="C17" s="12" t="s">
        <v>12</v>
      </c>
      <c r="D17" s="1"/>
      <c r="E17" s="13" t="s">
        <v>17</v>
      </c>
      <c r="F17" s="13">
        <v>0</v>
      </c>
    </row>
    <row r="18" spans="1:6" ht="12" customHeight="1">
      <c r="A18" s="9">
        <v>0</v>
      </c>
      <c r="B18" s="10">
        <f t="shared" ref="B18:B23" si="0">EXP(A18)</f>
        <v>1</v>
      </c>
      <c r="C18" s="10">
        <v>1</v>
      </c>
      <c r="D18" s="1"/>
      <c r="E18" s="13" t="s">
        <v>18</v>
      </c>
      <c r="F18" s="13">
        <v>1</v>
      </c>
    </row>
    <row r="19" spans="1:6" ht="12" customHeight="1">
      <c r="A19" s="9">
        <f>A18+$F$20</f>
        <v>0.2</v>
      </c>
      <c r="B19" s="10">
        <f t="shared" si="0"/>
        <v>1.2214027581601699</v>
      </c>
      <c r="C19" s="10">
        <v>2</v>
      </c>
      <c r="D19" s="1"/>
      <c r="E19" s="13" t="s">
        <v>19</v>
      </c>
      <c r="F19" s="13">
        <v>5</v>
      </c>
    </row>
    <row r="20" spans="1:6" ht="12" customHeight="1">
      <c r="A20" s="9">
        <f>A19+$F$20</f>
        <v>0.4</v>
      </c>
      <c r="B20" s="10">
        <f t="shared" si="0"/>
        <v>1.4918246976412703</v>
      </c>
      <c r="C20" s="10">
        <v>2</v>
      </c>
      <c r="D20" s="1"/>
      <c r="E20" s="13" t="s">
        <v>13</v>
      </c>
      <c r="F20" s="13">
        <f>(F18-F17)/F19</f>
        <v>0.2</v>
      </c>
    </row>
    <row r="21" spans="1:6" ht="12" customHeight="1">
      <c r="A21" s="9">
        <f>A20+$F$20</f>
        <v>0.60000000000000009</v>
      </c>
      <c r="B21" s="10">
        <f t="shared" si="0"/>
        <v>1.8221188003905091</v>
      </c>
      <c r="C21" s="10">
        <v>2</v>
      </c>
      <c r="D21" s="1"/>
      <c r="E21" s="14"/>
      <c r="F21" s="14"/>
    </row>
    <row r="22" spans="1:6" ht="12" customHeight="1">
      <c r="A22" s="9">
        <f>A21+$F$20</f>
        <v>0.8</v>
      </c>
      <c r="B22" s="10">
        <f t="shared" si="0"/>
        <v>2.2255409284924679</v>
      </c>
      <c r="C22" s="10">
        <v>2</v>
      </c>
      <c r="D22" s="1"/>
      <c r="E22" s="13" t="s">
        <v>14</v>
      </c>
      <c r="F22" s="13">
        <f>$F$20/2*SUMPRODUCT(B18:B23,C18:C23)</f>
        <v>1.724005619782788</v>
      </c>
    </row>
    <row r="23" spans="1:6" ht="12" customHeight="1">
      <c r="A23" s="9">
        <f>A22+$F$20</f>
        <v>1</v>
      </c>
      <c r="B23" s="10">
        <f t="shared" si="0"/>
        <v>2.7182818284590451</v>
      </c>
      <c r="C23" s="10">
        <v>1</v>
      </c>
      <c r="D23" s="1"/>
      <c r="E23" s="13" t="s">
        <v>15</v>
      </c>
      <c r="F23" s="13">
        <f>ABS($B$2-F22)</f>
        <v>5.7236197827879032E-3</v>
      </c>
    </row>
    <row r="24" spans="1:6" ht="12" customHeight="1">
      <c r="A24" s="2"/>
      <c r="B24" s="1"/>
      <c r="C24" s="1"/>
      <c r="D24" s="1"/>
      <c r="E24" s="1"/>
      <c r="F24" s="1"/>
    </row>
    <row r="25" spans="1:6" ht="12" customHeight="1">
      <c r="A25" s="2"/>
      <c r="B25" s="1"/>
      <c r="C25" s="1"/>
      <c r="D25" s="1"/>
      <c r="E25" s="1"/>
      <c r="F25" s="1"/>
    </row>
    <row r="26" spans="1:6" ht="12" customHeight="1">
      <c r="A26" s="5" t="s">
        <v>20</v>
      </c>
      <c r="B26" s="6"/>
      <c r="C26" s="6"/>
      <c r="D26" s="6"/>
      <c r="E26" s="6"/>
      <c r="F26" s="6"/>
    </row>
    <row r="27" spans="1:6" ht="12" customHeight="1">
      <c r="A27" s="7" t="s">
        <v>10</v>
      </c>
      <c r="B27" s="8" t="s">
        <v>11</v>
      </c>
      <c r="C27" s="8" t="s">
        <v>12</v>
      </c>
      <c r="D27" s="1"/>
      <c r="E27" s="13" t="s">
        <v>17</v>
      </c>
      <c r="F27" s="13">
        <v>0</v>
      </c>
    </row>
    <row r="28" spans="1:6" ht="12" customHeight="1">
      <c r="A28" s="9">
        <v>0</v>
      </c>
      <c r="B28" s="10">
        <f t="shared" ref="B28:B34" si="1">EXP(A28)</f>
        <v>1</v>
      </c>
      <c r="C28" s="10">
        <v>1</v>
      </c>
      <c r="D28" s="1"/>
      <c r="E28" s="13" t="s">
        <v>18</v>
      </c>
      <c r="F28" s="13">
        <v>1</v>
      </c>
    </row>
    <row r="29" spans="1:6" ht="12" customHeight="1">
      <c r="A29" s="9">
        <f t="shared" ref="A29:A34" si="2">A28+$F$30</f>
        <v>0.16666666666666666</v>
      </c>
      <c r="B29" s="10">
        <f t="shared" si="1"/>
        <v>1.1813604128656459</v>
      </c>
      <c r="C29" s="10">
        <v>4</v>
      </c>
      <c r="D29" s="1"/>
      <c r="E29" s="13" t="s">
        <v>19</v>
      </c>
      <c r="F29" s="13">
        <v>6</v>
      </c>
    </row>
    <row r="30" spans="1:6" ht="12" customHeight="1">
      <c r="A30" s="9">
        <f t="shared" si="2"/>
        <v>0.33333333333333331</v>
      </c>
      <c r="B30" s="10">
        <f t="shared" si="1"/>
        <v>1.3956124250860895</v>
      </c>
      <c r="C30" s="10">
        <v>2</v>
      </c>
      <c r="D30" s="1"/>
      <c r="E30" s="13" t="s">
        <v>13</v>
      </c>
      <c r="F30" s="13">
        <f>(F28-F27)/F29</f>
        <v>0.16666666666666666</v>
      </c>
    </row>
    <row r="31" spans="1:6" ht="12" customHeight="1">
      <c r="A31" s="9">
        <f t="shared" si="2"/>
        <v>0.5</v>
      </c>
      <c r="B31" s="10">
        <f t="shared" si="1"/>
        <v>1.6487212707001282</v>
      </c>
      <c r="C31" s="10">
        <v>4</v>
      </c>
      <c r="D31" s="1"/>
      <c r="E31" s="14"/>
      <c r="F31" s="14"/>
    </row>
    <row r="32" spans="1:6" ht="12" customHeight="1">
      <c r="A32" s="9">
        <f t="shared" si="2"/>
        <v>0.66666666666666663</v>
      </c>
      <c r="B32" s="10">
        <f t="shared" si="1"/>
        <v>1.9477340410546757</v>
      </c>
      <c r="C32" s="10">
        <v>2</v>
      </c>
      <c r="D32" s="1"/>
      <c r="E32" s="13" t="s">
        <v>14</v>
      </c>
      <c r="F32" s="13">
        <f>$F$30/3*SUMPRODUCT(B28:B34,C28:C34)</f>
        <v>1.7182891699208316</v>
      </c>
    </row>
    <row r="33" spans="1:6" ht="12" customHeight="1">
      <c r="A33" s="9">
        <f t="shared" si="2"/>
        <v>0.83333333333333326</v>
      </c>
      <c r="B33" s="10">
        <f t="shared" si="1"/>
        <v>2.3009758908928246</v>
      </c>
      <c r="C33" s="10">
        <v>4</v>
      </c>
      <c r="D33" s="1"/>
      <c r="E33" s="13" t="s">
        <v>15</v>
      </c>
      <c r="F33" s="13">
        <f>ABS($B$2-F32)</f>
        <v>7.1699208314957019E-6</v>
      </c>
    </row>
    <row r="34" spans="1:6" ht="12" customHeight="1">
      <c r="A34" s="9">
        <f t="shared" si="2"/>
        <v>0.99999999999999989</v>
      </c>
      <c r="B34" s="9">
        <f t="shared" si="1"/>
        <v>2.7182818284590451</v>
      </c>
      <c r="C34" s="9">
        <v>1</v>
      </c>
      <c r="D34" s="2"/>
      <c r="E34" s="2"/>
      <c r="F34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Integracao Numerica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Cristina</dc:creator>
  <cp:lastModifiedBy>MAYARA CRISTINA ANANIAS RIBEIRO</cp:lastModifiedBy>
  <dcterms:created xsi:type="dcterms:W3CDTF">2026-09-29T17:56:36Z</dcterms:created>
  <dcterms:modified xsi:type="dcterms:W3CDTF">2026-09-29T17:56:36Z</dcterms:modified>
</cp:coreProperties>
</file>