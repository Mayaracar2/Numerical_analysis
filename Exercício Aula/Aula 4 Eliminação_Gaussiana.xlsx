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E2111AB3-E2A4-478E-84EE-A93F9E40E536}" xr6:coauthVersionLast="47" xr6:coauthVersionMax="47" xr10:uidLastSave="{00000000-0000-0000-0000-000000000000}"/>
  <bookViews>
    <workbookView xWindow="-108" yWindow="-108" windowWidth="23256" windowHeight="12456" xr2:uid="{DEB79BCE-59CF-46B4-9B4F-5750F5F77DA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2" i="1" l="1" a="1"/>
  <c r="B12" i="1" s="1"/>
  <c r="B10" i="1" a="1"/>
  <c r="B10" i="1" s="1"/>
  <c r="B9" i="1" a="1"/>
  <c r="B9" i="1" s="1"/>
  <c r="B8" i="1" a="1"/>
  <c r="B8" i="1" s="1"/>
  <c r="C7" i="1"/>
  <c r="D7" i="1"/>
  <c r="E7" i="1"/>
  <c r="F7" i="1"/>
  <c r="B7" i="1"/>
  <c r="B15" i="1" l="1" a="1"/>
  <c r="B15" i="1" s="1"/>
  <c r="B13" i="1" a="1"/>
  <c r="B13" i="1" s="1"/>
  <c r="B14" i="1" a="1"/>
  <c r="B14" i="1" s="1"/>
  <c r="B18" i="1" a="1"/>
  <c r="B20" i="1" a="1"/>
  <c r="B17" i="1" a="1"/>
  <c r="B19" i="1" a="1"/>
  <c r="B19" i="1" l="1"/>
  <c r="B17" i="1"/>
  <c r="B20" i="1"/>
  <c r="C23" i="1"/>
  <c r="C24" i="1" s="1"/>
  <c r="C25" i="1" s="1"/>
  <c r="B18" i="1"/>
  <c r="C26" i="1" l="1"/>
  <c r="G26" i="1" l="1"/>
  <c r="G25" i="1"/>
  <c r="G24" i="1"/>
  <c r="G23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<sst xmlns="http://schemas.openxmlformats.org/spreadsheetml/2006/main" count="19" uniqueCount="19">
  <si>
    <t>A0</t>
  </si>
  <si>
    <t>A1</t>
  </si>
  <si>
    <t>A2</t>
  </si>
  <si>
    <t>A3</t>
  </si>
  <si>
    <t>X1</t>
  </si>
  <si>
    <t>X2</t>
  </si>
  <si>
    <t>X3</t>
  </si>
  <si>
    <t>X4</t>
  </si>
  <si>
    <t>B</t>
  </si>
  <si>
    <t>Solução do sistema equivalente</t>
  </si>
  <si>
    <t>X4=</t>
  </si>
  <si>
    <t>X3=</t>
  </si>
  <si>
    <t>X2=</t>
  </si>
  <si>
    <t>X1=</t>
  </si>
  <si>
    <t>Verificação</t>
  </si>
  <si>
    <t>Linha 1</t>
  </si>
  <si>
    <t>Linha 2</t>
  </si>
  <si>
    <t>Linha 3</t>
  </si>
  <si>
    <t>Linha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</si>
</sst>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0"/>
      </bottom>
      <diagonal/>
    </border>
    <border>
      <left style="thin">
        <color theme="2" tint="-0.249977111117893"/>
      </left>
      <right style="thin">
        <color theme="0"/>
      </right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2" tint="-0.249977111117893"/>
      </right>
      <top style="thin">
        <color theme="1"/>
      </top>
      <bottom/>
      <diagonal/>
    </border>
    <border>
      <left style="thin">
        <color theme="2" tint="-0.249977111117893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2" tint="-0.249977111117893"/>
      </right>
      <top/>
      <bottom style="thin">
        <color theme="1"/>
      </bottom>
      <diagonal/>
    </border>
    <border>
      <left style="thin">
        <color theme="2" tint="-0.249977111117893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2" tint="-0.249977111117893"/>
      </right>
      <top style="thin">
        <color theme="1"/>
      </top>
      <bottom style="thin">
        <color theme="1"/>
      </bottom>
      <diagonal/>
    </border>
    <border>
      <left style="thin">
        <color theme="2" tint="-0.249977111117893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1"/>
      </top>
      <bottom style="thin">
        <color theme="1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/>
      <diagonal/>
    </border>
    <border>
      <left style="thin">
        <color theme="2" tint="-0.249977111117893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6" xfId="0" applyBorder="1"/>
    <xf numFmtId="0" fontId="1" fillId="3" borderId="8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5" xfId="0" applyBorder="1"/>
    <xf numFmtId="0" fontId="0" fillId="0" borderId="14" xfId="0" applyBorder="1"/>
    <xf numFmtId="0" fontId="1" fillId="3" borderId="13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7" xfId="0" applyFont="1" applyFill="1" applyBorder="1"/>
    <xf numFmtId="0" fontId="1" fillId="3" borderId="13" xfId="0" applyFont="1" applyFill="1" applyBorder="1"/>
    <xf numFmtId="0" fontId="1" fillId="3" borderId="5" xfId="0" applyFont="1" applyFill="1" applyBorder="1"/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7" xfId="0" applyFill="1" applyBorder="1" applyAlignment="1">
      <alignment horizontal="center"/>
    </xf>
    <xf numFmtId="0" fontId="0" fillId="0" borderId="26" xfId="0" applyBorder="1"/>
    <xf numFmtId="0" fontId="0" fillId="0" borderId="28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8D39F-91EC-40DA-8962-87C4ADAC5DB3}">
  <dimension ref="A1:L26"/>
  <sheetViews>
    <sheetView tabSelected="1" workbookViewId="0">
      <selection activeCell="I14" sqref="I14"/>
    </sheetView>
  </sheetViews>
  <sheetFormatPr defaultRowHeight="14.4" x14ac:dyDescent="0.3"/>
  <cols>
    <col min="2" max="2" width="9.21875" customWidth="1"/>
    <col min="3" max="4" width="8.88671875" customWidth="1"/>
    <col min="6" max="6" width="10.88671875" customWidth="1"/>
  </cols>
  <sheetData>
    <row r="1" spans="1:12" x14ac:dyDescent="0.3">
      <c r="A1" s="2"/>
      <c r="B1" s="6" t="s">
        <v>4</v>
      </c>
      <c r="C1" s="6" t="s">
        <v>5</v>
      </c>
      <c r="D1" s="6" t="s">
        <v>6</v>
      </c>
      <c r="E1" s="6" t="s">
        <v>7</v>
      </c>
      <c r="F1" s="6" t="s">
        <v>8</v>
      </c>
      <c r="H1" s="8"/>
      <c r="I1" s="9"/>
      <c r="J1" s="15"/>
      <c r="K1" s="16"/>
      <c r="L1" s="13"/>
    </row>
    <row r="2" spans="1:12" x14ac:dyDescent="0.3">
      <c r="A2" s="3" t="s">
        <v>0</v>
      </c>
      <c r="B2" s="1">
        <v>3</v>
      </c>
      <c r="C2" s="1">
        <v>2</v>
      </c>
      <c r="D2" s="1">
        <v>0</v>
      </c>
      <c r="E2" s="1">
        <v>1</v>
      </c>
      <c r="F2" s="1">
        <v>3</v>
      </c>
      <c r="H2" s="17"/>
      <c r="I2" s="18"/>
      <c r="J2" s="18"/>
      <c r="K2" s="19"/>
      <c r="L2" s="14"/>
    </row>
    <row r="3" spans="1:12" x14ac:dyDescent="0.3">
      <c r="A3" s="4"/>
      <c r="B3" s="1">
        <v>9</v>
      </c>
      <c r="C3" s="1">
        <v>8</v>
      </c>
      <c r="D3" s="1">
        <v>-3</v>
      </c>
      <c r="E3" s="1">
        <v>4</v>
      </c>
      <c r="F3" s="1">
        <v>6</v>
      </c>
      <c r="H3" s="7"/>
      <c r="I3" s="10"/>
      <c r="J3" s="11"/>
      <c r="K3" s="11"/>
      <c r="L3" s="12"/>
    </row>
    <row r="4" spans="1:12" x14ac:dyDescent="0.3">
      <c r="A4" s="4"/>
      <c r="B4" s="1">
        <v>-6</v>
      </c>
      <c r="C4" s="1">
        <v>4</v>
      </c>
      <c r="D4" s="1">
        <v>-8</v>
      </c>
      <c r="E4" s="1">
        <v>0</v>
      </c>
      <c r="F4" s="1">
        <v>-16</v>
      </c>
    </row>
    <row r="5" spans="1:12" x14ac:dyDescent="0.3">
      <c r="A5" s="5"/>
      <c r="B5" s="1">
        <v>3</v>
      </c>
      <c r="C5" s="1">
        <v>-8</v>
      </c>
      <c r="D5" s="1">
        <v>3</v>
      </c>
      <c r="E5" s="1">
        <v>-4</v>
      </c>
      <c r="F5" s="1">
        <v>18</v>
      </c>
    </row>
    <row r="7" spans="1:12" x14ac:dyDescent="0.3">
      <c r="A7" s="3" t="s">
        <v>1</v>
      </c>
      <c r="B7" s="1">
        <f>B2</f>
        <v>3</v>
      </c>
      <c r="C7" s="1">
        <f t="shared" ref="C7:F7" si="0">C2</f>
        <v>2</v>
      </c>
      <c r="D7" s="1">
        <f t="shared" si="0"/>
        <v>0</v>
      </c>
      <c r="E7" s="1">
        <f t="shared" si="0"/>
        <v>1</v>
      </c>
      <c r="F7" s="1">
        <f t="shared" si="0"/>
        <v>3</v>
      </c>
    </row>
    <row r="8" spans="1:12" x14ac:dyDescent="0.3">
      <c r="A8" s="4"/>
      <c r="B8" s="1" cm="1">
        <f t="array" ref="B8:F8">B3:F3-($B$3/$B$2)*B2:F2</f>
        <v>0</v>
      </c>
      <c r="C8" s="1">
        <v>2</v>
      </c>
      <c r="D8" s="1">
        <v>-3</v>
      </c>
      <c r="E8" s="1">
        <v>1</v>
      </c>
      <c r="F8" s="1">
        <v>-3</v>
      </c>
    </row>
    <row r="9" spans="1:12" x14ac:dyDescent="0.3">
      <c r="A9" s="4"/>
      <c r="B9" s="1" cm="1">
        <f t="array" ref="B9:F9">B4:F4-($B$4/$B$2)*B2:F2</f>
        <v>0</v>
      </c>
      <c r="C9" s="1">
        <v>8</v>
      </c>
      <c r="D9" s="1">
        <v>-8</v>
      </c>
      <c r="E9" s="1">
        <v>2</v>
      </c>
      <c r="F9" s="1">
        <v>-10</v>
      </c>
    </row>
    <row r="10" spans="1:12" x14ac:dyDescent="0.3">
      <c r="A10" s="5"/>
      <c r="B10" s="1" cm="1">
        <f t="array" ref="B10:F10">B5:F5-($B$5/$B$2)*B2:F2</f>
        <v>0</v>
      </c>
      <c r="C10" s="1">
        <v>-10</v>
      </c>
      <c r="D10" s="1">
        <v>3</v>
      </c>
      <c r="E10" s="1">
        <v>-5</v>
      </c>
      <c r="F10" s="1">
        <v>15</v>
      </c>
    </row>
    <row r="12" spans="1:12" x14ac:dyDescent="0.3">
      <c r="A12" s="3" t="s">
        <v>2</v>
      </c>
      <c r="B12" s="1" cm="1">
        <f t="array" ref="B12:F12">B2:F2</f>
        <v>3</v>
      </c>
      <c r="C12" s="1">
        <v>2</v>
      </c>
      <c r="D12" s="1">
        <v>0</v>
      </c>
      <c r="E12" s="1">
        <v>1</v>
      </c>
      <c r="F12" s="1">
        <v>3</v>
      </c>
    </row>
    <row r="13" spans="1:12" x14ac:dyDescent="0.3">
      <c r="A13" s="4"/>
      <c r="B13" s="1" cm="1">
        <f t="array" ref="B13:F13">_xlfn.ANCHORARRAY(B8)</f>
        <v>0</v>
      </c>
      <c r="C13" s="1">
        <v>2</v>
      </c>
      <c r="D13" s="1">
        <v>-3</v>
      </c>
      <c r="E13" s="1">
        <v>1</v>
      </c>
      <c r="F13" s="1">
        <v>-3</v>
      </c>
    </row>
    <row r="14" spans="1:12" x14ac:dyDescent="0.3">
      <c r="A14" s="4"/>
      <c r="B14" s="1" cm="1">
        <f t="array" ref="B14:F14">_xlfn.ANCHORARRAY(B9)-($C$9/$C$8)*_xlfn.ANCHORARRAY(B8)</f>
        <v>0</v>
      </c>
      <c r="C14" s="1">
        <v>0</v>
      </c>
      <c r="D14" s="1">
        <v>4</v>
      </c>
      <c r="E14" s="1">
        <v>-2</v>
      </c>
      <c r="F14" s="1">
        <v>2</v>
      </c>
    </row>
    <row r="15" spans="1:12" x14ac:dyDescent="0.3">
      <c r="A15" s="5"/>
      <c r="B15" s="1" cm="1">
        <f t="array" ref="B15:F15">_xlfn.ANCHORARRAY(B10)-($C$10/$C$8)*_xlfn.ANCHORARRAY(B8)</f>
        <v>0</v>
      </c>
      <c r="C15" s="1">
        <v>0</v>
      </c>
      <c r="D15" s="1">
        <v>-12</v>
      </c>
      <c r="E15" s="1">
        <v>0</v>
      </c>
      <c r="F15" s="1">
        <v>0</v>
      </c>
    </row>
    <row r="17" spans="1:8" x14ac:dyDescent="0.3">
      <c r="A17" s="3" t="s">
        <v>3</v>
      </c>
      <c r="B17" s="1" cm="1">
        <f t="array" ref="B17:F17">_xlfn.ANCHORARRAY(B12)</f>
        <v>3</v>
      </c>
      <c r="C17" s="1">
        <v>2</v>
      </c>
      <c r="D17" s="1">
        <v>0</v>
      </c>
      <c r="E17" s="1">
        <v>1</v>
      </c>
      <c r="F17" s="1">
        <v>3</v>
      </c>
    </row>
    <row r="18" spans="1:8" x14ac:dyDescent="0.3">
      <c r="A18" s="4"/>
      <c r="B18" s="1" cm="1">
        <f t="array" ref="B18:F18">_xlfn.ANCHORARRAY(B13)</f>
        <v>0</v>
      </c>
      <c r="C18" s="1">
        <v>2</v>
      </c>
      <c r="D18" s="1">
        <v>-3</v>
      </c>
      <c r="E18" s="1">
        <v>1</v>
      </c>
      <c r="F18" s="1">
        <v>-3</v>
      </c>
    </row>
    <row r="19" spans="1:8" x14ac:dyDescent="0.3">
      <c r="A19" s="4"/>
      <c r="B19" s="1" cm="1">
        <f t="array" ref="B19:F19">_xlfn.ANCHORARRAY(B14)</f>
        <v>0</v>
      </c>
      <c r="C19" s="1">
        <v>0</v>
      </c>
      <c r="D19" s="1">
        <v>4</v>
      </c>
      <c r="E19" s="1">
        <v>-2</v>
      </c>
      <c r="F19" s="1">
        <v>2</v>
      </c>
    </row>
    <row r="20" spans="1:8" x14ac:dyDescent="0.3">
      <c r="A20" s="5"/>
      <c r="B20" s="1" cm="1">
        <f t="array" ref="B20:F20">_xlfn.ANCHORARRAY(B15)-($D$15/$D$14)*_xlfn.ANCHORARRAY(B14)</f>
        <v>0</v>
      </c>
      <c r="C20" s="1">
        <v>0</v>
      </c>
      <c r="D20" s="1">
        <v>0</v>
      </c>
      <c r="E20" s="1">
        <v>-6</v>
      </c>
      <c r="F20" s="1">
        <v>6</v>
      </c>
    </row>
    <row r="22" spans="1:8" x14ac:dyDescent="0.3">
      <c r="A22" s="27" t="s">
        <v>9</v>
      </c>
      <c r="B22" s="27"/>
      <c r="C22" s="27"/>
      <c r="D22" s="27"/>
      <c r="F22" s="32" t="s">
        <v>14</v>
      </c>
      <c r="G22" s="33"/>
      <c r="H22" s="34"/>
    </row>
    <row r="23" spans="1:8" x14ac:dyDescent="0.3">
      <c r="A23" s="24" t="s">
        <v>10</v>
      </c>
      <c r="B23" s="25"/>
      <c r="C23" s="20">
        <f>E20/F20</f>
        <v>-1</v>
      </c>
      <c r="D23" s="21"/>
      <c r="F23" s="35" t="s">
        <v>15</v>
      </c>
      <c r="G23" s="29">
        <f>3*C26+2*C25+0*C24+1*C23</f>
        <v>3</v>
      </c>
    </row>
    <row r="24" spans="1:8" x14ac:dyDescent="0.3">
      <c r="A24" s="26" t="s">
        <v>11</v>
      </c>
      <c r="B24" s="25"/>
      <c r="C24" s="20">
        <f>(F19-E19*C23)/D19</f>
        <v>0</v>
      </c>
      <c r="D24" s="21"/>
      <c r="F24" s="29" t="s">
        <v>16</v>
      </c>
      <c r="G24" s="31">
        <f>9*C26+8*C25-3*C24+4*C23</f>
        <v>6</v>
      </c>
    </row>
    <row r="25" spans="1:8" x14ac:dyDescent="0.3">
      <c r="A25" s="26" t="s">
        <v>12</v>
      </c>
      <c r="B25" s="25"/>
      <c r="C25" s="24">
        <f>(F18-E18*C23-D18*C24)/C18</f>
        <v>-1</v>
      </c>
      <c r="D25" s="25"/>
      <c r="F25" s="30" t="s">
        <v>17</v>
      </c>
      <c r="G25" s="30">
        <f>-6*C26+4*C25-8*C24+0*C23</f>
        <v>-16</v>
      </c>
    </row>
    <row r="26" spans="1:8" x14ac:dyDescent="0.3">
      <c r="A26" s="28" t="s">
        <v>13</v>
      </c>
      <c r="B26" s="23"/>
      <c r="C26" s="22">
        <f>(F17-E17*C23-D17*C24-C17*C25)/B17</f>
        <v>2</v>
      </c>
      <c r="D26" s="23"/>
      <c r="F26" s="29" t="s">
        <v>18</v>
      </c>
      <c r="G26" s="29">
        <f>3*C26-8*C25+3*C24-4*C23</f>
        <v>18</v>
      </c>
    </row>
  </sheetData>
  <mergeCells count="14">
    <mergeCell ref="A25:B25"/>
    <mergeCell ref="A26:B26"/>
    <mergeCell ref="C23:D23"/>
    <mergeCell ref="C24:D24"/>
    <mergeCell ref="C25:D25"/>
    <mergeCell ref="C26:D26"/>
    <mergeCell ref="A22:D22"/>
    <mergeCell ref="F22:G22"/>
    <mergeCell ref="A23:B23"/>
    <mergeCell ref="A24:B24"/>
    <mergeCell ref="A12:A15"/>
    <mergeCell ref="A7:A10"/>
    <mergeCell ref="A2:A5"/>
    <mergeCell ref="A17:A20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MAYARA CRISTINA ANANIAS RIBEIRO</dc:creator>
  <cp:lastModifiedBy>MAYARA CRISTINA ANANIAS RIBEIRO</cp:lastModifiedBy>
  <dcterms:created xsi:type="dcterms:W3CDTF">2026-08-25T17:13:13Z</dcterms:created>
  <dcterms:modified xsi:type="dcterms:W3CDTF">2026-08-25T18:01:06Z</dcterms:modified>
</cp:coreProperties>
</file>